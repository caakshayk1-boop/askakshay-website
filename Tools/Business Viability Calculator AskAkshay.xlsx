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DEA SNAPSHOT" sheetId="2" state="visible" r:id="rId4"/>
    <sheet name="BREAK-EVEN ENGINE" sheetId="3" state="visible" r:id="rId5"/>
    <sheet name="RUNWAY PLANNER" sheetId="4" state="visible" r:id="rId6"/>
    <sheet name="VERDICT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<sst xmlns="http://schemas.openxmlformats.org/spreadsheetml/2006/main" count="153" uniqueCount="138">
  <si>
    <t xml:space="preserve">askakshay.com  |  Business Finance Launch Kit</t>
  </si>
  <si>
    <t xml:space="preserve">Business Viability Calculator</t>
  </si>
  <si>
    <t xml:space="preserve">Know if your idea makes money — before you spend a rupee on it.</t>
  </si>
  <si>
    <t xml:space="preserve">HOW TO USE — 5 TABS, 15 MINUTES</t>
  </si>
  <si>
    <t xml:space="preserve">STEP 1  →  START HERE</t>
  </si>
  <si>
    <t xml:space="preserve">You are here. Read the color guide below before editing anything.</t>
  </si>
  <si>
    <t xml:space="preserve">STEP 2  →  IDEA SNAPSHOT</t>
  </si>
  <si>
    <t xml:space="preserve">Enter your business name, price, target customer, and monthly sales estimate.</t>
  </si>
  <si>
    <t xml:space="preserve">STEP 3  →  BREAK-EVEN ENGINE</t>
  </si>
  <si>
    <t xml:space="preserve">Enter fixed and variable costs. Break-even auto-calculates.</t>
  </si>
  <si>
    <t xml:space="preserve">STEP 4  →  RUNWAY PLANNER</t>
  </si>
  <si>
    <t xml:space="preserve">Enter capital and personal expenses. 12-month cash flow builds automatically.</t>
  </si>
  <si>
    <t xml:space="preserve">STEP 5  →  VERDICT DASHBOARD</t>
  </si>
  <si>
    <t xml:space="preserve">Green / Amber / Red signal with plain-English explanation.</t>
  </si>
  <si>
    <t xml:space="preserve">COLOR LEGEND</t>
  </si>
  <si>
    <t xml:space="preserve">Blue text on lime tint + lime border  =  YOUR INPUT (only edit these)</t>
  </si>
  <si>
    <t xml:space="preserve">Dark text on grey  =  Formula  (do not edit)</t>
  </si>
  <si>
    <t xml:space="preserve">Lime highlight  =  KEY OUTPUT (break-even, verdict)</t>
  </si>
  <si>
    <t xml:space="preserve">Dark background + lime text  =  Header / navigation row</t>
  </si>
  <si>
    <t xml:space="preserve">Green text  =  Viable / positive outcome</t>
  </si>
  <si>
    <t xml:space="preserve">Amber text  =  Marginal / needs adjustment</t>
  </si>
  <si>
    <t xml:space="preserve">Red text  =  High risk / rethink required</t>
  </si>
  <si>
    <t xml:space="preserve">askakshay.com  |  IDEA SNAPSHOT</t>
  </si>
  <si>
    <t xml:space="preserve">IDEA SNAPSHOT</t>
  </si>
  <si>
    <t xml:space="preserve">Define your business before building it. Vague answers give useless results.</t>
  </si>
  <si>
    <t xml:space="preserve">YOUR BUSINESS</t>
  </si>
  <si>
    <t xml:space="preserve">Business / Idea Name</t>
  </si>
  <si>
    <t xml:space="preserve">e.g. Finance Kits by Akshay</t>
  </si>
  <si>
    <t xml:space="preserve">What will you call it?</t>
  </si>
  <si>
    <t xml:space="preserve">What do you sell?</t>
  </si>
  <si>
    <t xml:space="preserve">e.g. Digital workbooks + Google Sheets</t>
  </si>
  <si>
    <t xml:space="preserve">Product / Service / Both?</t>
  </si>
  <si>
    <t xml:space="preserve">Who is your target customer?</t>
  </si>
  <si>
    <t xml:space="preserve">e.g. Indian first-time entrepreneurs 25-35</t>
  </si>
  <si>
    <t xml:space="preserve">Be specific — not 'everyone'</t>
  </si>
  <si>
    <t xml:space="preserve">Revenue model</t>
  </si>
  <si>
    <t xml:space="preserve">e.g. One-time digital download</t>
  </si>
  <si>
    <t xml:space="preserve">One-time / Subscription / Service</t>
  </si>
  <si>
    <t xml:space="preserve">Primary sales channel</t>
  </si>
  <si>
    <t xml:space="preserve">e.g. askakshay.com + Instagram</t>
  </si>
  <si>
    <t xml:space="preserve">Where will customers find &amp; buy?</t>
  </si>
  <si>
    <t xml:space="preserve">Selling currency</t>
  </si>
  <si>
    <t xml:space="preserve">INR</t>
  </si>
  <si>
    <t xml:space="preserve">INR / MYR / USD</t>
  </si>
  <si>
    <t xml:space="preserve">YOUR PRICING</t>
  </si>
  <si>
    <t xml:space="preserve">Price per unit / sale (Rs.)</t>
  </si>
  <si>
    <t xml:space="preserve">What will you charge per transaction?</t>
  </si>
  <si>
    <t xml:space="preserve">Estimated units sold — Month 1</t>
  </si>
  <si>
    <t xml:space="preserve">Conservative guess — stress-tested in Tab 3</t>
  </si>
  <si>
    <t xml:space="preserve">Expected refund / discount rate (%)</t>
  </si>
  <si>
    <t xml:space="preserve">e.g. 0.05 = 5% of sales refunded</t>
  </si>
  <si>
    <t xml:space="preserve">askakshay.com  |  BREAK-EVEN ENGINE</t>
  </si>
  <si>
    <t xml:space="preserve">BREAK-EVEN ENGINE</t>
  </si>
  <si>
    <t xml:space="preserve">How many sales do you need to cover all costs? Enter actuals or honest estimates.</t>
  </si>
  <si>
    <t xml:space="preserve">FIXED COSTS  (monthly — you pay these regardless of sales)</t>
  </si>
  <si>
    <t xml:space="preserve">Domain + hosting</t>
  </si>
  <si>
    <t xml:space="preserve">Rs. / month</t>
  </si>
  <si>
    <t xml:space="preserve">Design tools (Canva Pro etc.)</t>
  </si>
  <si>
    <t xml:space="preserve">Payment gateway flat fee</t>
  </si>
  <si>
    <t xml:space="preserve">Phone / internet (business share)</t>
  </si>
  <si>
    <t xml:space="preserve">Other fixed cost 1</t>
  </si>
  <si>
    <t xml:space="preserve">Other fixed cost 2</t>
  </si>
  <si>
    <t xml:space="preserve">TOTAL FIXED COSTS</t>
  </si>
  <si>
    <t xml:space="preserve">VARIABLE COSTS  (per unit sold)</t>
  </si>
  <si>
    <t xml:space="preserve">Payment gateway % fee (e.g. 0.02 = 2%)</t>
  </si>
  <si>
    <t xml:space="preserve">per unit</t>
  </si>
  <si>
    <t xml:space="preserve">Platform / marketplace fee %</t>
  </si>
  <si>
    <t xml:space="preserve">Delivery / fulfilment cost per unit</t>
  </si>
  <si>
    <t xml:space="preserve">Other variable cost per unit</t>
  </si>
  <si>
    <t xml:space="preserve">TOTAL VARIABLE COST PER UNIT</t>
  </si>
  <si>
    <t xml:space="preserve">CONTRIBUTION MARGIN &amp; BREAK-EVEN</t>
  </si>
  <si>
    <t xml:space="preserve">Selling price per unit (Rs.)</t>
  </si>
  <si>
    <t xml:space="preserve">Variable cost per unit (Rs.)</t>
  </si>
  <si>
    <t xml:space="preserve">Contribution margin per unit (Rs.)</t>
  </si>
  <si>
    <t xml:space="preserve">Contribution margin (%)</t>
  </si>
  <si>
    <t xml:space="preserve">Monthly fixed costs (Rs.)</t>
  </si>
  <si>
    <t xml:space="preserve">BREAK-EVEN UNITS / MONTH</t>
  </si>
  <si>
    <t xml:space="preserve">KEY OUTPUT</t>
  </si>
  <si>
    <t xml:space="preserve">BREAK-EVEN REVENUE / MONTH (Rs.)</t>
  </si>
  <si>
    <t xml:space="preserve">askakshay.com  |  12-MONTH RUNWAY PLANNER</t>
  </si>
  <si>
    <t xml:space="preserve">12-MONTH RUNWAY PLANNER</t>
  </si>
  <si>
    <t xml:space="preserve">How long can you survive before the business must support itself?</t>
  </si>
  <si>
    <t xml:space="preserve">CAPITAL &amp; BURN ASSUMPTIONS</t>
  </si>
  <si>
    <t xml:space="preserve">Starting capital / savings allocated (Rs.)</t>
  </si>
  <si>
    <t xml:space="preserve">Amount you're willing to put in</t>
  </si>
  <si>
    <t xml:space="preserve">Your monthly salary / other income (Rs.)</t>
  </si>
  <si>
    <t xml:space="preserve">Include if you're a part-time founder</t>
  </si>
  <si>
    <t xml:space="preserve">Personal monthly expenses (Rs.)</t>
  </si>
  <si>
    <t xml:space="preserve">Rent, food, EMI — be honest</t>
  </si>
  <si>
    <t xml:space="preserve">Expected units sold — Month 1</t>
  </si>
  <si>
    <t xml:space="preserve">Start conservative</t>
  </si>
  <si>
    <t xml:space="preserve">Monthly unit growth rate (%)</t>
  </si>
  <si>
    <t xml:space="preserve">e.g. 0.10 = 10% each month</t>
  </si>
  <si>
    <t xml:space="preserve">Price per unit (Rs.)</t>
  </si>
  <si>
    <t xml:space="preserve">Auto-pulled from Tab 2</t>
  </si>
  <si>
    <t xml:space="preserve">Auto-pulled from Tab 3</t>
  </si>
  <si>
    <t xml:space="preserve">MONTH-BY-MONTH PROJECTION</t>
  </si>
  <si>
    <t xml:space="preserve">MONTH</t>
  </si>
  <si>
    <t xml:space="preserve">UNITS SOLD</t>
  </si>
  <si>
    <t xml:space="preserve">REVENUE (Rs.)</t>
  </si>
  <si>
    <t xml:space="preserve">VARIABLE COSTS (Rs.)</t>
  </si>
  <si>
    <t xml:space="preserve">FIXED COSTS (Rs.)</t>
  </si>
  <si>
    <t xml:space="preserve">NET CASH (Rs.)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</si>
  <si>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</si>
  <si>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</si>
  <si>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</si>
  <si>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</si>
  <si>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</si>
  <si>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</si>
  <si>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</si>
  <si>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</si>
  <si>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</si>
  <si>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</si>
  <si>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</si>
  <si>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</si>
  <si>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 (12 MONTHS)</t>
  </si>
  <si>
    <t xml:space="preserve">RUNWAY SUMMARY</t>
  </si>
  <si>
    <t xml:space="preserve">Cumulative net cash after 12 months (Rs.)</t>
  </si>
  <si>
    <t xml:space="preserve">Estimated runway before capital hits zero (months)</t>
  </si>
  <si>
    <t xml:space="preserve">askakshay.com  |  VERDICT DASHBOARD</t>
  </si>
  <si>
    <t xml:space="preserve">VERDICT DASHBOARD</t>
  </si>
  <si>
    <t xml:space="preserve">All outputs aggregate here. One signal. Plain English. No jargon.</t>
  </si>
  <si>
    <t xml:space="preserve">KEY METRICS SUMMARY</t>
  </si>
  <si>
    <t xml:space="preserve">Your selling price (Rs.)</t>
  </si>
  <si>
    <t xml:space="preserve">Your Month-1 sales estimate (units)</t>
  </si>
  <si>
    <t xml:space="preserve">Break-even units / month</t>
  </si>
  <si>
    <t xml:space="preserve">Break-even revenue / month (Rs.)</t>
  </si>
  <si>
    <t xml:space="preserve">12-month cumulative net cash (Rs.)</t>
  </si>
  <si>
    <t xml:space="preserve">Estimated runway (months)</t>
  </si>
  <si>
    <t xml:space="preserve">YOUR VERDICT</t>
  </si>
  <si>
    <t xml:space="preserve">INTERPRETATION GUIDE</t>
  </si>
  <si>
    <t xml:space="preserve">GREEN  |  VIABLE</t>
  </si>
  <si>
    <t xml:space="preserve">Break-even is within 50% of your Month-1 target AND runway &gt; 6 months. Launch. Track revenue weekly. Scale what works.</t>
  </si>
  <si>
    <t xml:space="preserve">AMBER  |  MARGINAL</t>
  </si>
  <si>
    <t xml:space="preserve">You're close but not comfortable. Fix one of: raise price / cut fixed costs / revise sales estimate upward before launching.</t>
  </si>
  <si>
    <t xml:space="preserve">RED  |  HIGH RISK</t>
  </si>
  <si>
    <t xml:space="preserve">Break-even requires 2x+ what you expect to sell. Rethink pricing, cost structure, or the idea itself before spending any money.</t>
  </si>
  <si>
    <t xml:space="preserve">Ship with numbers, not hope.  |  Get the full kit at askakshay.com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</si>
</sst>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General"/>
    <numFmt numFmtId="168" formatCode="0.00%"/>
    <numFmt numFmtId="169" formatCode="0.0%"/>
    <numFmt numFmtId="170" formatCode="0"/>
    <numFmt numFmtId="171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8F135"/>
      <name val="Arial"/>
      <family val="0"/>
      <charset val="1"/>
    </font>
    <font>
      <b val="true"/>
      <sz val="22"/>
      <color rgb="FF0D0D0D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D0D0D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D0D0D"/>
      <name val="Arial"/>
      <family val="0"/>
      <charset val="1"/>
    </font>
    <font>
      <b val="true"/>
      <sz val="9"/>
      <color rgb="FF1A7F4B"/>
      <name val="Arial"/>
      <family val="0"/>
      <charset val="1"/>
    </font>
    <font>
      <b val="true"/>
      <sz val="9"/>
      <color rgb="FFD4821A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8"/>
      <color rgb="FF0D0D0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0D0D0D"/>
      <name val="Arial"/>
      <family val="0"/>
      <charset val="1"/>
    </font>
    <font>
      <b val="true"/>
      <sz val="10"/>
      <color rgb="FFC8F13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3"/>
      <color rgb="FFC8F135"/>
      <name val="Arial"/>
      <family val="0"/>
      <charset val="1"/>
    </font>
    <font>
      <b val="true"/>
      <sz val="10"/>
      <color rgb="FF1A7F4B"/>
      <name val="Arial"/>
      <family val="0"/>
      <charset val="1"/>
    </font>
    <font>
      <sz val="9"/>
      <color rgb="FF0D0D0D"/>
      <name val="Arial"/>
      <family val="0"/>
      <charset val="1"/>
    </font>
    <font>
      <b val="true"/>
      <sz val="10"/>
      <color rgb="FFD482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C8F13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FFFFFF"/>
        <bgColor rgb="FFF9F9F9"/>
      </patternFill>
    </fill>
    <fill>
      <patternFill patternType="solid">
        <fgColor rgb="FFC8F135"/>
        <bgColor rgb="FFFFFF00"/>
      </patternFill>
    </fill>
    <fill>
      <patternFill patternType="solid">
        <fgColor rgb="FF1DB954"/>
        <bgColor rgb="FF33CCCC"/>
      </patternFill>
    </fill>
    <fill>
      <patternFill patternType="solid">
        <fgColor rgb="FFF2F2F2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7B2FBE"/>
        <bgColor rgb="FF993366"/>
      </patternFill>
    </fill>
    <fill>
      <patternFill patternType="solid">
        <fgColor rgb="FFFAFFC8"/>
        <bgColor rgb="FFFFFF99"/>
      </patternFill>
    </fill>
    <fill>
      <patternFill patternType="solid">
        <fgColor rgb="FFE67E22"/>
        <bgColor rgb="FFD4821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1A1A2E"/>
      </left>
      <right/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1DB954"/>
      </left>
      <right style="thin">
        <color rgb="FF1DB954"/>
      </right>
      <top style="thin">
        <color rgb="FF1DB954"/>
      </top>
      <bottom style="thin">
        <color rgb="FF1DB954"/>
      </bottom>
      <diagonal/>
    </border>
    <border diagonalUp="false" diagonalDown="false">
      <left style="thin">
        <color rgb="FFC8F135"/>
      </left>
      <right style="thin">
        <color rgb="FFC8F135"/>
      </right>
      <top style="thin">
        <color rgb="FFC8F135"/>
      </top>
      <bottom style="thin">
        <color rgb="FFC8F1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7B2FBE"/>
      </left>
      <right style="thin">
        <color rgb="FF7B2FBE"/>
      </right>
      <top style="thin">
        <color rgb="FF7B2FBE"/>
      </top>
      <bottom style="thin">
        <color rgb="FF7B2FBE"/>
      </bottom>
      <diagonal/>
    </border>
    <border diagonalUp="false" diagonalDown="false"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C8F135"/>
      </left>
      <right/>
      <top style="thin">
        <color rgb="FFC8F135"/>
      </top>
      <bottom style="thin">
        <color rgb="FFC8F1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8F135"/>
      <rgbColor rgb="FFFF00FF"/>
      <rgbColor rgb="FF00FFFF"/>
      <rgbColor rgb="FF800000"/>
      <rgbColor rgb="FF008000"/>
      <rgbColor rgb="FF000080"/>
      <rgbColor rgb="FF808000"/>
      <rgbColor rgb="FF800080"/>
      <rgbColor rgb="FF1A7F4B"/>
      <rgbColor rgb="FFC0C0C0"/>
      <rgbColor rgb="FF808080"/>
      <rgbColor rgb="FF9999FF"/>
      <rgbColor rgb="FF7B2FBE"/>
      <rgbColor rgb="FFFAFFC8"/>
      <rgbColor rgb="FFF2F2F2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1A"/>
      <rgbColor rgb="FFE67E22"/>
      <rgbColor rgb="FF555555"/>
      <rgbColor rgb="FF969696"/>
      <rgbColor rgb="FF003366"/>
      <rgbColor rgb="FF1DB954"/>
      <rgbColor rgb="FF0D0D0D"/>
      <rgbColor rgb="FF1A1A1A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B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32"/>
  </cols>
  <sheetData>
    <row r="1" customFormat="false" ht="7.5" hidden="false" customHeight="true" outlineLevel="0" collapsed="false"/>
    <row r="2" customFormat="false" ht="13.5" hidden="false" customHeight="true" outlineLevel="0" collapsed="false">
      <c r="B2" s="1" t="s">
        <v>0</v>
      </c>
      <c r="C2" s="1"/>
    </row>
    <row r="3" customFormat="false" ht="9.75" hidden="false" customHeight="true" outlineLevel="0" collapsed="false"/>
    <row r="4" customFormat="false" ht="48" hidden="false" customHeight="true" outlineLevel="0" collapsed="false">
      <c r="B4" s="2" t="s">
        <v>1</v>
      </c>
      <c r="C4" s="2"/>
    </row>
    <row r="5" customFormat="false" ht="21.75" hidden="false" customHeight="true" outlineLevel="0" collapsed="false">
      <c r="B5" s="3" t="s">
        <v>2</v>
      </c>
      <c r="C5" s="3"/>
    </row>
    <row r="6" customFormat="false" ht="3.75" hidden="false" customHeight="true" outlineLevel="0" collapsed="false">
      <c r="B6" s="4"/>
      <c r="C6" s="4"/>
    </row>
    <row r="7" customFormat="false" ht="7.5" hidden="false" customHeight="true" outlineLevel="0" collapsed="false"/>
    <row r="8" customFormat="false" ht="24" hidden="false" customHeight="true" outlineLevel="0" collapsed="false">
      <c r="B8" s="5" t="s">
        <v>3</v>
      </c>
      <c r="C8" s="5"/>
    </row>
    <row r="9" customFormat="false" ht="21.75" hidden="false" customHeight="true" outlineLevel="0" collapsed="false">
      <c r="B9" s="6" t="s">
        <v>4</v>
      </c>
      <c r="C9" s="6"/>
    </row>
    <row r="10" customFormat="false" ht="18" hidden="false" customHeight="true" outlineLevel="0" collapsed="false">
      <c r="B10" s="7" t="s">
        <v>5</v>
      </c>
      <c r="C10" s="7"/>
    </row>
    <row r="11" customFormat="false" ht="21.75" hidden="false" customHeight="true" outlineLevel="0" collapsed="false">
      <c r="B11" s="6" t="s">
        <v>6</v>
      </c>
      <c r="C11" s="6"/>
    </row>
    <row r="12" customFormat="false" ht="18" hidden="false" customHeight="true" outlineLevel="0" collapsed="false">
      <c r="B12" s="8" t="s">
        <v>7</v>
      </c>
      <c r="C12" s="8"/>
    </row>
    <row r="13" customFormat="false" ht="21.75" hidden="false" customHeight="true" outlineLevel="0" collapsed="false">
      <c r="B13" s="6" t="s">
        <v>8</v>
      </c>
      <c r="C13" s="6"/>
    </row>
    <row r="14" customFormat="false" ht="18" hidden="false" customHeight="true" outlineLevel="0" collapsed="false">
      <c r="B14" s="7" t="s">
        <v>9</v>
      </c>
      <c r="C14" s="7"/>
    </row>
    <row r="15" customFormat="false" ht="21.75" hidden="false" customHeight="true" outlineLevel="0" collapsed="false">
      <c r="B15" s="6" t="s">
        <v>10</v>
      </c>
      <c r="C15" s="6"/>
    </row>
    <row r="16" customFormat="false" ht="18" hidden="false" customHeight="true" outlineLevel="0" collapsed="false">
      <c r="B16" s="8" t="s">
        <v>11</v>
      </c>
      <c r="C16" s="8"/>
    </row>
    <row r="17" customFormat="false" ht="21.75" hidden="false" customHeight="true" outlineLevel="0" collapsed="false">
      <c r="B17" s="6" t="s">
        <v>12</v>
      </c>
      <c r="C17" s="6"/>
    </row>
    <row r="18" customFormat="false" ht="18" hidden="false" customHeight="true" outlineLevel="0" collapsed="false">
      <c r="B18" s="7" t="s">
        <v>13</v>
      </c>
      <c r="C18" s="7"/>
    </row>
    <row r="20" customFormat="false" ht="7.5" hidden="false" customHeight="true" outlineLevel="0" collapsed="false"/>
    <row r="21" customFormat="false" ht="24" hidden="false" customHeight="true" outlineLevel="0" collapsed="false">
      <c r="B21" s="9" t="s">
        <v>14</v>
      </c>
      <c r="C21" s="9"/>
    </row>
    <row r="22" customFormat="false" ht="21.75" hidden="false" customHeight="true" outlineLevel="0" collapsed="false">
      <c r="B22" s="10" t="s">
        <v>15</v>
      </c>
      <c r="C22" s="10"/>
    </row>
    <row r="23" customFormat="false" ht="21.75" hidden="false" customHeight="true" outlineLevel="0" collapsed="false">
      <c r="B23" s="11" t="s">
        <v>16</v>
      </c>
      <c r="C23" s="11"/>
    </row>
    <row r="24" customFormat="false" ht="21.75" hidden="false" customHeight="true" outlineLevel="0" collapsed="false">
      <c r="B24" s="12" t="s">
        <v>17</v>
      </c>
      <c r="C24" s="12"/>
    </row>
    <row r="25" customFormat="false" ht="21.75" hidden="false" customHeight="true" outlineLevel="0" collapsed="false">
      <c r="B25" s="13" t="s">
        <v>18</v>
      </c>
      <c r="C25" s="13"/>
    </row>
    <row r="26" customFormat="false" ht="21.75" hidden="false" customHeight="true" outlineLevel="0" collapsed="false">
      <c r="B26" s="14" t="s">
        <v>19</v>
      </c>
      <c r="C26" s="14"/>
    </row>
    <row r="27" customFormat="false" ht="21.75" hidden="false" customHeight="true" outlineLevel="0" collapsed="false">
      <c r="B27" s="15" t="s">
        <v>20</v>
      </c>
      <c r="C27" s="15"/>
    </row>
    <row r="28" customFormat="false" ht="21.75" hidden="false" customHeight="true" outlineLevel="0" collapsed="false">
      <c r="B28" s="16" t="s">
        <v>21</v>
      </c>
      <c r="C28" s="16"/>
    </row>
  </sheetData>
  <mergeCells count="23">
    <mergeCell ref="B2:C2"/>
    <mergeCell ref="B4:C4"/>
    <mergeCell ref="B5:C5"/>
    <mergeCell ref="B6:C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B954"/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13.5" hidden="false" customHeight="true" outlineLevel="0" collapsed="false">
      <c r="B1" s="1" t="s">
        <v>22</v>
      </c>
      <c r="C1" s="1"/>
      <c r="D1" s="1"/>
    </row>
    <row r="2" customFormat="false" ht="39.75" hidden="false" customHeight="true" outlineLevel="0" collapsed="false">
      <c r="B2" s="17" t="s">
        <v>23</v>
      </c>
      <c r="C2" s="17"/>
      <c r="D2" s="17"/>
    </row>
    <row r="3" customFormat="false" ht="3.75" hidden="false" customHeight="true" outlineLevel="0" collapsed="false">
      <c r="B3" s="4"/>
      <c r="C3" s="4"/>
      <c r="D3" s="4"/>
    </row>
    <row r="4" customFormat="false" ht="19.5" hidden="false" customHeight="true" outlineLevel="0" collapsed="false">
      <c r="B4" s="18" t="s">
        <v>24</v>
      </c>
      <c r="C4" s="18"/>
      <c r="D4" s="18"/>
    </row>
    <row r="6" customFormat="false" ht="24" hidden="false" customHeight="true" outlineLevel="0" collapsed="false">
      <c r="B6" s="5" t="s">
        <v>25</v>
      </c>
      <c r="C6" s="5"/>
      <c r="D6" s="5"/>
    </row>
    <row r="7" customFormat="false" ht="25.5" hidden="false" customHeight="true" outlineLevel="0" collapsed="false">
      <c r="B7" s="19" t="s">
        <v>26</v>
      </c>
      <c r="C7" s="20" t="s">
        <v>27</v>
      </c>
      <c r="D7" s="21" t="s">
        <v>28</v>
      </c>
    </row>
    <row r="8" customFormat="false" ht="25.5" hidden="false" customHeight="true" outlineLevel="0" collapsed="false">
      <c r="B8" s="22" t="s">
        <v>29</v>
      </c>
      <c r="C8" s="20" t="s">
        <v>30</v>
      </c>
      <c r="D8" s="23" t="s">
        <v>31</v>
      </c>
    </row>
    <row r="9" customFormat="false" ht="25.5" hidden="false" customHeight="true" outlineLevel="0" collapsed="false">
      <c r="B9" s="19" t="s">
        <v>32</v>
      </c>
      <c r="C9" s="20" t="s">
        <v>33</v>
      </c>
      <c r="D9" s="21" t="s">
        <v>34</v>
      </c>
    </row>
    <row r="10" customFormat="false" ht="25.5" hidden="false" customHeight="true" outlineLevel="0" collapsed="false">
      <c r="B10" s="22" t="s">
        <v>35</v>
      </c>
      <c r="C10" s="20" t="s">
        <v>36</v>
      </c>
      <c r="D10" s="23" t="s">
        <v>37</v>
      </c>
    </row>
    <row r="11" customFormat="false" ht="25.5" hidden="false" customHeight="true" outlineLevel="0" collapsed="false">
      <c r="B11" s="19" t="s">
        <v>38</v>
      </c>
      <c r="C11" s="20" t="s">
        <v>39</v>
      </c>
      <c r="D11" s="21" t="s">
        <v>40</v>
      </c>
    </row>
    <row r="12" customFormat="false" ht="25.5" hidden="false" customHeight="true" outlineLevel="0" collapsed="false">
      <c r="B12" s="22" t="s">
        <v>41</v>
      </c>
      <c r="C12" s="20" t="s">
        <v>42</v>
      </c>
      <c r="D12" s="23" t="s">
        <v>43</v>
      </c>
    </row>
    <row r="14" customFormat="false" ht="24" hidden="false" customHeight="true" outlineLevel="0" collapsed="false">
      <c r="B14" s="24" t="s">
        <v>44</v>
      </c>
      <c r="C14" s="24"/>
      <c r="D14" s="24"/>
    </row>
    <row r="15" customFormat="false" ht="27.75" hidden="false" customHeight="true" outlineLevel="0" collapsed="false">
      <c r="B15" s="19" t="s">
        <v>45</v>
      </c>
      <c r="C15" s="25" t="n">
        <v>2999</v>
      </c>
      <c r="D15" s="21" t="s">
        <v>46</v>
      </c>
    </row>
    <row r="16" customFormat="false" ht="27.75" hidden="false" customHeight="true" outlineLevel="0" collapsed="false">
      <c r="B16" s="22" t="s">
        <v>47</v>
      </c>
      <c r="C16" s="26" t="n">
        <v>10</v>
      </c>
      <c r="D16" s="23" t="s">
        <v>48</v>
      </c>
    </row>
    <row r="17" customFormat="false" ht="27.75" hidden="false" customHeight="true" outlineLevel="0" collapsed="false">
      <c r="B17" s="19" t="s">
        <v>49</v>
      </c>
      <c r="C17" s="27" t="n">
        <v>0.05</v>
      </c>
      <c r="D17" s="21" t="s">
        <v>50</v>
      </c>
    </row>
  </sheetData>
  <mergeCells count="6">
    <mergeCell ref="B1:D1"/>
    <mergeCell ref="B2:D2"/>
    <mergeCell ref="B3:D3"/>
    <mergeCell ref="B4:D4"/>
    <mergeCell ref="B6:D6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B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"/>
  </cols>
  <sheetData>
    <row r="1" customFormat="false" ht="13.5" hidden="false" customHeight="true" outlineLevel="0" collapsed="false">
      <c r="B1" s="1" t="s">
        <v>51</v>
      </c>
      <c r="C1" s="1"/>
      <c r="D1" s="1"/>
    </row>
    <row r="2" customFormat="false" ht="39.75" hidden="false" customHeight="true" outlineLevel="0" collapsed="false">
      <c r="B2" s="17" t="s">
        <v>52</v>
      </c>
      <c r="C2" s="17"/>
      <c r="D2" s="17"/>
    </row>
    <row r="3" customFormat="false" ht="3.75" hidden="false" customHeight="true" outlineLevel="0" collapsed="false">
      <c r="B3" s="4"/>
      <c r="C3" s="4"/>
      <c r="D3" s="4"/>
    </row>
    <row r="4" customFormat="false" ht="19.5" hidden="false" customHeight="true" outlineLevel="0" collapsed="false">
      <c r="B4" s="18" t="s">
        <v>53</v>
      </c>
      <c r="C4" s="18"/>
      <c r="D4" s="18"/>
    </row>
    <row r="6" customFormat="false" ht="24" hidden="false" customHeight="true" outlineLevel="0" collapsed="false">
      <c r="B6" s="5" t="s">
        <v>54</v>
      </c>
      <c r="C6" s="5"/>
      <c r="D6" s="5"/>
    </row>
    <row r="7" customFormat="false" ht="25.5" hidden="false" customHeight="true" outlineLevel="0" collapsed="false">
      <c r="B7" s="19" t="s">
        <v>55</v>
      </c>
      <c r="C7" s="25" t="n">
        <v>500</v>
      </c>
      <c r="D7" s="28" t="s">
        <v>56</v>
      </c>
    </row>
    <row r="8" customFormat="false" ht="25.5" hidden="false" customHeight="true" outlineLevel="0" collapsed="false">
      <c r="B8" s="22" t="s">
        <v>57</v>
      </c>
      <c r="C8" s="25" t="n">
        <v>0</v>
      </c>
      <c r="D8" s="29" t="s">
        <v>56</v>
      </c>
    </row>
    <row r="9" customFormat="false" ht="25.5" hidden="false" customHeight="true" outlineLevel="0" collapsed="false">
      <c r="B9" s="19" t="s">
        <v>58</v>
      </c>
      <c r="C9" s="25" t="n">
        <v>0</v>
      </c>
      <c r="D9" s="28" t="s">
        <v>56</v>
      </c>
    </row>
    <row r="10" customFormat="false" ht="25.5" hidden="false" customHeight="true" outlineLevel="0" collapsed="false">
      <c r="B10" s="22" t="s">
        <v>59</v>
      </c>
      <c r="C10" s="25" t="n">
        <v>500</v>
      </c>
      <c r="D10" s="29" t="s">
        <v>56</v>
      </c>
    </row>
    <row r="11" customFormat="false" ht="25.5" hidden="false" customHeight="true" outlineLevel="0" collapsed="false">
      <c r="B11" s="19" t="s">
        <v>60</v>
      </c>
      <c r="C11" s="25" t="n">
        <v>0</v>
      </c>
      <c r="D11" s="28" t="s">
        <v>56</v>
      </c>
    </row>
    <row r="12" customFormat="false" ht="25.5" hidden="false" customHeight="true" outlineLevel="0" collapsed="false">
      <c r="B12" s="22" t="s">
        <v>61</v>
      </c>
      <c r="C12" s="25" t="n">
        <v>0</v>
      </c>
      <c r="D12" s="29" t="s">
        <v>56</v>
      </c>
    </row>
    <row r="13" customFormat="false" ht="27.75" hidden="false" customHeight="true" outlineLevel="0" collapsed="false">
      <c r="B13" s="30" t="s">
        <v>62</v>
      </c>
      <c r="C13" s="31" t="n">
        <f aca="false">SUM(C7:C12)</f>
        <v>1000</v>
      </c>
      <c r="D13" s="32" t="s">
        <v>56</v>
      </c>
    </row>
    <row r="15" customFormat="false" ht="24" hidden="false" customHeight="true" outlineLevel="0" collapsed="false">
      <c r="B15" s="24" t="s">
        <v>63</v>
      </c>
      <c r="C15" s="24"/>
      <c r="D15" s="24"/>
    </row>
    <row r="16" customFormat="false" ht="25.5" hidden="false" customHeight="true" outlineLevel="0" collapsed="false">
      <c r="B16" s="19" t="s">
        <v>64</v>
      </c>
      <c r="C16" s="33" t="n">
        <v>0.02</v>
      </c>
      <c r="D16" s="28" t="s">
        <v>65</v>
      </c>
    </row>
    <row r="17" customFormat="false" ht="25.5" hidden="false" customHeight="true" outlineLevel="0" collapsed="false">
      <c r="B17" s="22" t="s">
        <v>66</v>
      </c>
      <c r="C17" s="33" t="n">
        <v>0</v>
      </c>
      <c r="D17" s="29" t="s">
        <v>65</v>
      </c>
    </row>
    <row r="18" customFormat="false" ht="25.5" hidden="false" customHeight="true" outlineLevel="0" collapsed="false">
      <c r="B18" s="19" t="s">
        <v>67</v>
      </c>
      <c r="C18" s="25" t="n">
        <v>0</v>
      </c>
      <c r="D18" s="28" t="s">
        <v>65</v>
      </c>
    </row>
    <row r="19" customFormat="false" ht="25.5" hidden="false" customHeight="true" outlineLevel="0" collapsed="false">
      <c r="B19" s="22" t="s">
        <v>68</v>
      </c>
      <c r="C19" s="25" t="n">
        <v>0</v>
      </c>
      <c r="D19" s="29" t="s">
        <v>65</v>
      </c>
    </row>
    <row r="20" customFormat="false" ht="27.75" hidden="false" customHeight="true" outlineLevel="0" collapsed="false">
      <c r="B20" s="30" t="s">
        <v>69</v>
      </c>
      <c r="C20" s="31" t="n">
        <f aca="false">'IDEA SNAPSHOT'!C15*(C16+C17)+C18+C19</f>
        <v>59.98</v>
      </c>
      <c r="D20" s="32" t="s">
        <v>65</v>
      </c>
    </row>
    <row r="22" customFormat="false" ht="24" hidden="false" customHeight="true" outlineLevel="0" collapsed="false">
      <c r="B22" s="9" t="s">
        <v>70</v>
      </c>
      <c r="C22" s="9"/>
      <c r="D22" s="9"/>
    </row>
    <row r="23" customFormat="false" ht="27.75" hidden="false" customHeight="true" outlineLevel="0" collapsed="false">
      <c r="B23" s="19" t="s">
        <v>71</v>
      </c>
      <c r="C23" s="34" t="n">
        <f aca="false">'IDEA SNAPSHOT'!C15</f>
        <v>2999</v>
      </c>
      <c r="D23" s="19"/>
    </row>
    <row r="24" customFormat="false" ht="27.75" hidden="false" customHeight="true" outlineLevel="0" collapsed="false">
      <c r="B24" s="22" t="s">
        <v>72</v>
      </c>
      <c r="C24" s="35" t="n">
        <f aca="false">C20</f>
        <v>59.98</v>
      </c>
      <c r="D24" s="22"/>
    </row>
    <row r="25" customFormat="false" ht="27.75" hidden="false" customHeight="true" outlineLevel="0" collapsed="false">
      <c r="B25" s="19" t="s">
        <v>73</v>
      </c>
      <c r="C25" s="34" t="n">
        <f aca="false">C23-C24</f>
        <v>2939.02</v>
      </c>
      <c r="D25" s="19"/>
    </row>
    <row r="26" customFormat="false" ht="27.75" hidden="false" customHeight="true" outlineLevel="0" collapsed="false">
      <c r="B26" s="22" t="s">
        <v>74</v>
      </c>
      <c r="C26" s="36" t="n">
        <f aca="false">IF(C23&gt;0,C25/C23,0)</f>
        <v>0.98</v>
      </c>
      <c r="D26" s="22"/>
    </row>
    <row r="27" customFormat="false" ht="27.75" hidden="false" customHeight="true" outlineLevel="0" collapsed="false">
      <c r="B27" s="19" t="s">
        <v>75</v>
      </c>
      <c r="C27" s="34" t="n">
        <f aca="false">C13</f>
        <v>1000</v>
      </c>
      <c r="D27" s="19"/>
    </row>
    <row r="28" customFormat="false" ht="27.75" hidden="false" customHeight="true" outlineLevel="0" collapsed="false">
      <c r="B28" s="30" t="s">
        <v>76</v>
      </c>
      <c r="C28" s="37" t="n">
        <f aca="false">IF(C25&gt;0,CEILING(C27/C25,1),"N/A")</f>
        <v>1</v>
      </c>
      <c r="D28" s="32" t="s">
        <v>77</v>
      </c>
    </row>
    <row r="29" customFormat="false" ht="27.75" hidden="false" customHeight="true" outlineLevel="0" collapsed="false">
      <c r="B29" s="30" t="s">
        <v>78</v>
      </c>
      <c r="C29" s="31" t="n">
        <f aca="false">IF(ISNUMBER(C28),C28*C23,"N/A")</f>
        <v>2999</v>
      </c>
      <c r="D29" s="32" t="s">
        <v>77</v>
      </c>
    </row>
  </sheetData>
  <mergeCells count="7">
    <mergeCell ref="B1:D1"/>
    <mergeCell ref="B2:D2"/>
    <mergeCell ref="B3:D3"/>
    <mergeCell ref="B4:D4"/>
    <mergeCell ref="B6:D6"/>
    <mergeCell ref="B15:D15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FBE"/>
    <pageSetUpPr fitToPage="fals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13.5" hidden="false" customHeight="true" outlineLevel="0" collapsed="false">
      <c r="B1" s="1" t="s">
        <v>79</v>
      </c>
      <c r="C1" s="1"/>
      <c r="D1" s="1"/>
      <c r="E1" s="1"/>
      <c r="F1" s="1"/>
      <c r="G1" s="1"/>
    </row>
    <row r="2" customFormat="false" ht="39.75" hidden="false" customHeight="true" outlineLevel="0" collapsed="false">
      <c r="B2" s="17" t="s">
        <v>80</v>
      </c>
      <c r="C2" s="17"/>
      <c r="D2" s="17"/>
      <c r="E2" s="17"/>
      <c r="F2" s="17"/>
      <c r="G2" s="17"/>
    </row>
    <row r="3" customFormat="false" ht="3.75" hidden="false" customHeight="true" outlineLevel="0" collapsed="false">
      <c r="B3" s="4"/>
      <c r="C3" s="4"/>
      <c r="D3" s="4"/>
      <c r="E3" s="4"/>
      <c r="F3" s="4"/>
      <c r="G3" s="4"/>
    </row>
    <row r="4" customFormat="false" ht="19.5" hidden="false" customHeight="true" outlineLevel="0" collapsed="false">
      <c r="B4" s="18" t="s">
        <v>81</v>
      </c>
      <c r="C4" s="18"/>
      <c r="D4" s="18"/>
      <c r="E4" s="18"/>
      <c r="F4" s="18"/>
      <c r="G4" s="18"/>
    </row>
    <row r="6" customFormat="false" ht="24" hidden="false" customHeight="true" outlineLevel="0" collapsed="false">
      <c r="B6" s="5" t="s">
        <v>82</v>
      </c>
      <c r="C6" s="5"/>
      <c r="D6" s="5"/>
      <c r="E6" s="5"/>
      <c r="F6" s="5"/>
      <c r="G6" s="5"/>
    </row>
    <row r="7" customFormat="false" ht="25.5" hidden="false" customHeight="true" outlineLevel="0" collapsed="false">
      <c r="B7" s="19" t="s">
        <v>83</v>
      </c>
      <c r="C7" s="25" t="n">
        <v>50000</v>
      </c>
      <c r="D7" s="21" t="s">
        <v>84</v>
      </c>
      <c r="E7" s="21"/>
      <c r="F7" s="21"/>
      <c r="G7" s="21"/>
    </row>
    <row r="8" customFormat="false" ht="25.5" hidden="false" customHeight="true" outlineLevel="0" collapsed="false">
      <c r="B8" s="22" t="s">
        <v>85</v>
      </c>
      <c r="C8" s="25" t="n">
        <v>0</v>
      </c>
      <c r="D8" s="23" t="s">
        <v>86</v>
      </c>
      <c r="E8" s="23"/>
      <c r="F8" s="23"/>
      <c r="G8" s="23"/>
    </row>
    <row r="9" customFormat="false" ht="25.5" hidden="false" customHeight="true" outlineLevel="0" collapsed="false">
      <c r="B9" s="19" t="s">
        <v>87</v>
      </c>
      <c r="C9" s="25" t="n">
        <v>30000</v>
      </c>
      <c r="D9" s="21" t="s">
        <v>88</v>
      </c>
      <c r="E9" s="21"/>
      <c r="F9" s="21"/>
      <c r="G9" s="21"/>
    </row>
    <row r="10" customFormat="false" ht="25.5" hidden="false" customHeight="true" outlineLevel="0" collapsed="false">
      <c r="B10" s="22" t="s">
        <v>89</v>
      </c>
      <c r="C10" s="26" t="n">
        <v>5</v>
      </c>
      <c r="D10" s="23" t="s">
        <v>90</v>
      </c>
      <c r="E10" s="23"/>
      <c r="F10" s="23"/>
      <c r="G10" s="23"/>
    </row>
    <row r="11" customFormat="false" ht="25.5" hidden="false" customHeight="true" outlineLevel="0" collapsed="false">
      <c r="B11" s="19" t="s">
        <v>91</v>
      </c>
      <c r="C11" s="27" t="n">
        <v>0.1</v>
      </c>
      <c r="D11" s="21" t="s">
        <v>92</v>
      </c>
      <c r="E11" s="21"/>
      <c r="F11" s="21"/>
      <c r="G11" s="21"/>
    </row>
    <row r="12" customFormat="false" ht="25.5" hidden="false" customHeight="true" outlineLevel="0" collapsed="false">
      <c r="B12" s="22" t="s">
        <v>93</v>
      </c>
      <c r="C12" s="35" t="n">
        <f aca="false">'IDEA SNAPSHOT'!C15</f>
        <v>2999</v>
      </c>
      <c r="D12" s="23" t="s">
        <v>94</v>
      </c>
      <c r="E12" s="23"/>
      <c r="F12" s="23"/>
      <c r="G12" s="23"/>
    </row>
    <row r="13" customFormat="false" ht="25.5" hidden="false" customHeight="true" outlineLevel="0" collapsed="false">
      <c r="B13" s="19" t="s">
        <v>72</v>
      </c>
      <c r="C13" s="34" t="n">
        <f aca="false">'BREAK-EVEN ENGINE'!C20</f>
        <v>59.98</v>
      </c>
      <c r="D13" s="21" t="s">
        <v>95</v>
      </c>
      <c r="E13" s="21"/>
      <c r="F13" s="21"/>
      <c r="G13" s="21"/>
    </row>
    <row r="14" customFormat="false" ht="25.5" hidden="false" customHeight="true" outlineLevel="0" collapsed="false">
      <c r="B14" s="22" t="s">
        <v>75</v>
      </c>
      <c r="C14" s="35" t="n">
        <f aca="false">'BREAK-EVEN ENGINE'!C13</f>
        <v>1000</v>
      </c>
      <c r="D14" s="23" t="s">
        <v>95</v>
      </c>
      <c r="E14" s="23"/>
      <c r="F14" s="23"/>
      <c r="G14" s="23"/>
    </row>
    <row r="16" customFormat="false" ht="24" hidden="false" customHeight="true" outlineLevel="0" collapsed="false">
      <c r="B16" s="9" t="s">
        <v>96</v>
      </c>
      <c r="C16" s="9"/>
      <c r="D16" s="9"/>
      <c r="E16" s="9"/>
      <c r="F16" s="9"/>
      <c r="G16" s="9"/>
    </row>
    <row r="17" customFormat="false" ht="25.5" hidden="false" customHeight="true" outlineLevel="0" collapsed="false">
      <c r="B17" s="38" t="s">
        <v>97</v>
      </c>
      <c r="C17" s="38" t="s">
        <v>98</v>
      </c>
      <c r="D17" s="38" t="s">
        <v>99</v>
      </c>
      <c r="E17" s="38" t="s">
        <v>100</v>
      </c>
      <c r="F17" s="38" t="s">
        <v>101</v>
      </c>
      <c r="G17" s="38" t="s">
        <v>102</v>
      </c>
    </row>
    <row r="18" customFormat="false" ht="24" hidden="false" customHeight="true" outlineLevel="0" collapsed="false">
      <c r="B18" s="19" t="s">
        <v>103</v>
      </c>
      <c r="C18" s="39" t="n">
        <f aca="false">C10</f>
        <v>5</v>
      </c>
      <c r="D18" s="34" t="n">
        <f aca="false">C18*C12</f>
        <v>14995</v>
      </c>
      <c r="E18" s="34" t="n">
        <f aca="false">C18*C13</f>
        <v>299.9</v>
      </c>
      <c r="F18" s="34" t="n">
        <f aca="false">C14</f>
        <v>1000</v>
      </c>
      <c r="G18" s="40" t="n">
        <f aca="false">D18-E18-F18+C8-C9</f>
        <v>-16304.9</v>
      </c>
    </row>
    <row r="19" customFormat="false" ht="24" hidden="false" customHeight="true" outlineLevel="0" collapsed="false">
      <c r="B19" s="22" t="s">
        <v>104</v>
      </c>
      <c r="C19" s="41" t="n">
        <f aca="false">C18*(1+C11)</f>
        <v>5.5</v>
      </c>
      <c r="D19" s="35" t="n">
        <f aca="false">C19*C12</f>
        <v>16494.5</v>
      </c>
      <c r="E19" s="35" t="n">
        <f aca="false">C19*C13</f>
        <v>329.89</v>
      </c>
      <c r="F19" s="35" t="n">
        <f aca="false">C14</f>
        <v>1000</v>
      </c>
      <c r="G19" s="42" t="n">
        <f aca="false">D19-E19-F19+C8-C9</f>
        <v>-14835.39</v>
      </c>
    </row>
    <row r="20" customFormat="false" ht="24" hidden="false" customHeight="true" outlineLevel="0" collapsed="false">
      <c r="B20" s="19" t="s">
        <v>105</v>
      </c>
      <c r="C20" s="39" t="n">
        <f aca="false">C19*(1+C11)</f>
        <v>6.05</v>
      </c>
      <c r="D20" s="34" t="n">
        <f aca="false">C20*C12</f>
        <v>18143.95</v>
      </c>
      <c r="E20" s="34" t="n">
        <f aca="false">C20*C13</f>
        <v>362.879</v>
      </c>
      <c r="F20" s="34" t="n">
        <f aca="false">C14</f>
        <v>1000</v>
      </c>
      <c r="G20" s="40" t="n">
        <f aca="false">D20-E20-F20+C8-C9</f>
        <v>-13218.929</v>
      </c>
    </row>
    <row r="21" customFormat="false" ht="24" hidden="false" customHeight="true" outlineLevel="0" collapsed="false">
      <c r="B21" s="22" t="s">
        <v>106</v>
      </c>
      <c r="C21" s="41" t="n">
        <f aca="false">C20*(1+C11)</f>
        <v>6.655</v>
      </c>
      <c r="D21" s="35" t="n">
        <f aca="false">C21*C12</f>
        <v>19958.345</v>
      </c>
      <c r="E21" s="35" t="n">
        <f aca="false">C21*C13</f>
        <v>399.1669</v>
      </c>
      <c r="F21" s="35" t="n">
        <f aca="false">C14</f>
        <v>1000</v>
      </c>
      <c r="G21" s="42" t="n">
        <f aca="false">D21-E21-F21+C8-C9</f>
        <v>-11440.8219</v>
      </c>
    </row>
    <row r="22" customFormat="false" ht="24" hidden="false" customHeight="true" outlineLevel="0" collapsed="false">
      <c r="B22" s="19" t="s">
        <v>107</v>
      </c>
      <c r="C22" s="39" t="n">
        <f aca="false">C21*(1+C11)</f>
        <v>7.3205</v>
      </c>
      <c r="D22" s="34" t="n">
        <f aca="false">C22*C12</f>
        <v>21954.1795</v>
      </c>
      <c r="E22" s="34" t="n">
        <f aca="false">C22*C13</f>
        <v>439.08359</v>
      </c>
      <c r="F22" s="34" t="n">
        <f aca="false">C14</f>
        <v>1000</v>
      </c>
      <c r="G22" s="40" t="n">
        <f aca="false">D22-E22-F22+C8-C9</f>
        <v>-9484.90408999999</v>
      </c>
    </row>
    <row r="23" customFormat="false" ht="24" hidden="false" customHeight="true" outlineLevel="0" collapsed="false">
      <c r="B23" s="22" t="s">
        <v>108</v>
      </c>
      <c r="C23" s="41" t="n">
        <f aca="false">C22*(1+C11)</f>
        <v>8.05255</v>
      </c>
      <c r="D23" s="35" t="n">
        <f aca="false">C23*C12</f>
        <v>24149.59745</v>
      </c>
      <c r="E23" s="35" t="n">
        <f aca="false">C23*C13</f>
        <v>482.991949</v>
      </c>
      <c r="F23" s="35" t="n">
        <f aca="false">C14</f>
        <v>1000</v>
      </c>
      <c r="G23" s="42" t="n">
        <f aca="false">D23-E23-F23+C8-C9</f>
        <v>-7333.39449899999</v>
      </c>
    </row>
    <row r="24" customFormat="false" ht="24" hidden="false" customHeight="true" outlineLevel="0" collapsed="false">
      <c r="B24" s="19" t="s">
        <v>109</v>
      </c>
      <c r="C24" s="39" t="n">
        <f aca="false">C23*(1+C11)</f>
        <v>8.857805</v>
      </c>
      <c r="D24" s="34" t="n">
        <f aca="false">C24*C12</f>
        <v>26564.557195</v>
      </c>
      <c r="E24" s="34" t="n">
        <f aca="false">C24*C13</f>
        <v>531.2911439</v>
      </c>
      <c r="F24" s="34" t="n">
        <f aca="false">C14</f>
        <v>1000</v>
      </c>
      <c r="G24" s="40" t="n">
        <f aca="false">D24-E24-F24+C8-C9</f>
        <v>-4966.73394889999</v>
      </c>
    </row>
    <row r="25" customFormat="false" ht="24" hidden="false" customHeight="true" outlineLevel="0" collapsed="false">
      <c r="B25" s="22" t="s">
        <v>110</v>
      </c>
      <c r="C25" s="41" t="n">
        <f aca="false">C24*(1+C11)</f>
        <v>9.7435855</v>
      </c>
      <c r="D25" s="35" t="n">
        <f aca="false">C25*C12</f>
        <v>29221.0129145</v>
      </c>
      <c r="E25" s="35" t="n">
        <f aca="false">C25*C13</f>
        <v>584.42025829</v>
      </c>
      <c r="F25" s="35" t="n">
        <f aca="false">C14</f>
        <v>1000</v>
      </c>
      <c r="G25" s="42" t="n">
        <f aca="false">D25-E25-F25+C8-C9</f>
        <v>-2363.40734378999</v>
      </c>
    </row>
    <row r="26" customFormat="false" ht="24" hidden="false" customHeight="true" outlineLevel="0" collapsed="false">
      <c r="B26" s="19" t="s">
        <v>111</v>
      </c>
      <c r="C26" s="39" t="n">
        <f aca="false">C25*(1+C11)</f>
        <v>10.71794405</v>
      </c>
      <c r="D26" s="34" t="n">
        <f aca="false">C26*C12</f>
        <v>32143.11420595</v>
      </c>
      <c r="E26" s="34" t="n">
        <f aca="false">C26*C13</f>
        <v>642.862284119</v>
      </c>
      <c r="F26" s="34" t="n">
        <f aca="false">C14</f>
        <v>1000</v>
      </c>
      <c r="G26" s="40" t="n">
        <f aca="false">D26-E26-F26+C8-C9</f>
        <v>500.251921831015</v>
      </c>
    </row>
    <row r="27" customFormat="false" ht="24" hidden="false" customHeight="true" outlineLevel="0" collapsed="false">
      <c r="B27" s="22" t="s">
        <v>112</v>
      </c>
      <c r="C27" s="41" t="n">
        <f aca="false">C26*(1+C11)</f>
        <v>11.789738455</v>
      </c>
      <c r="D27" s="35" t="n">
        <f aca="false">C27*C12</f>
        <v>35357.425626545</v>
      </c>
      <c r="E27" s="35" t="n">
        <f aca="false">C27*C13</f>
        <v>707.148512530901</v>
      </c>
      <c r="F27" s="35" t="n">
        <f aca="false">C14</f>
        <v>1000</v>
      </c>
      <c r="G27" s="42" t="n">
        <f aca="false">D27-E27-F27+C8-C9</f>
        <v>3650.27711401413</v>
      </c>
    </row>
    <row r="28" customFormat="false" ht="24" hidden="false" customHeight="true" outlineLevel="0" collapsed="false">
      <c r="B28" s="19" t="s">
        <v>113</v>
      </c>
      <c r="C28" s="39" t="n">
        <f aca="false">C27*(1+C11)</f>
        <v>12.9687123005</v>
      </c>
      <c r="D28" s="34" t="n">
        <f aca="false">C28*C12</f>
        <v>38893.1681891995</v>
      </c>
      <c r="E28" s="34" t="n">
        <f aca="false">C28*C13</f>
        <v>777.863363783991</v>
      </c>
      <c r="F28" s="34" t="n">
        <f aca="false">C14</f>
        <v>1000</v>
      </c>
      <c r="G28" s="40" t="n">
        <f aca="false">D28-E28-F28+C8-C9</f>
        <v>7115.30482541554</v>
      </c>
    </row>
    <row r="29" customFormat="false" ht="24" hidden="false" customHeight="true" outlineLevel="0" collapsed="false">
      <c r="B29" s="22" t="s">
        <v>114</v>
      </c>
      <c r="C29" s="41" t="n">
        <f aca="false">C28*(1+C11)</f>
        <v>14.26558353055</v>
      </c>
      <c r="D29" s="35" t="n">
        <f aca="false">C29*C12</f>
        <v>42782.4850081195</v>
      </c>
      <c r="E29" s="35" t="n">
        <f aca="false">C29*C13</f>
        <v>855.64970016239</v>
      </c>
      <c r="F29" s="35" t="n">
        <f aca="false">C14</f>
        <v>1000</v>
      </c>
      <c r="G29" s="42" t="n">
        <f aca="false">D29-E29-F29+C8-C9</f>
        <v>10926.8353079571</v>
      </c>
    </row>
    <row r="30" customFormat="false" ht="27.75" hidden="false" customHeight="true" outlineLevel="0" collapsed="false">
      <c r="B30" s="30" t="s">
        <v>115</v>
      </c>
      <c r="C30" s="43" t="n">
        <f aca="false">SUM(C18:C29)</f>
        <v>106.92141883605</v>
      </c>
      <c r="D30" s="31" t="n">
        <f aca="false">SUM(D18:D29)</f>
        <v>320657.335089314</v>
      </c>
      <c r="E30" s="31" t="n">
        <f aca="false">SUM(E18:E29)</f>
        <v>6413.14670178628</v>
      </c>
      <c r="F30" s="31" t="n">
        <f aca="false">SUM(F18:F29)</f>
        <v>12000</v>
      </c>
      <c r="G30" s="31" t="n">
        <f aca="false">SUM(G18:G29)</f>
        <v>-57755.8116124722</v>
      </c>
    </row>
    <row r="32" customFormat="false" ht="24" hidden="false" customHeight="true" outlineLevel="0" collapsed="false">
      <c r="B32" s="24" t="s">
        <v>116</v>
      </c>
      <c r="C32" s="24"/>
      <c r="D32" s="24"/>
      <c r="E32" s="24"/>
      <c r="F32" s="24"/>
      <c r="G32" s="24"/>
    </row>
    <row r="33" customFormat="false" ht="27.75" hidden="false" customHeight="true" outlineLevel="0" collapsed="false">
      <c r="B33" s="44" t="s">
        <v>117</v>
      </c>
      <c r="C33" s="31" t="n">
        <f aca="false">C7+G30</f>
        <v>-7755.81161247219</v>
      </c>
    </row>
    <row r="34" customFormat="false" ht="27.75" hidden="false" customHeight="true" outlineLevel="0" collapsed="false">
      <c r="B34" s="45" t="s">
        <v>118</v>
      </c>
      <c r="C34" s="46" t="n">
        <f aca="false">IF((C9-C8+C14)&gt;0,ROUND(C7/(C9-C8+C14),1),"Self-sustaining")</f>
        <v>1.6</v>
      </c>
    </row>
  </sheetData>
  <mergeCells count="15">
    <mergeCell ref="B1:G1"/>
    <mergeCell ref="B2:G2"/>
    <mergeCell ref="B3:G3"/>
    <mergeCell ref="B4:G4"/>
    <mergeCell ref="B6:G6"/>
    <mergeCell ref="D7:G7"/>
    <mergeCell ref="D8:G8"/>
    <mergeCell ref="D9:G9"/>
    <mergeCell ref="D10:G10"/>
    <mergeCell ref="D11:G11"/>
    <mergeCell ref="D12:G12"/>
    <mergeCell ref="D13:G13"/>
    <mergeCell ref="D14:G14"/>
    <mergeCell ref="B16:G16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F135"/>
    <pageSetUpPr fitToPage="false"/>
  </sheetPr>
  <dimension ref="B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3"/>
  </cols>
  <sheetData>
    <row r="1" customFormat="false" ht="13.5" hidden="false" customHeight="true" outlineLevel="0" collapsed="false">
      <c r="B1" s="1" t="s">
        <v>119</v>
      </c>
      <c r="C1" s="1"/>
    </row>
    <row r="2" customFormat="false" ht="39.75" hidden="false" customHeight="true" outlineLevel="0" collapsed="false">
      <c r="B2" s="17" t="s">
        <v>120</v>
      </c>
      <c r="C2" s="17"/>
    </row>
    <row r="3" customFormat="false" ht="3.75" hidden="false" customHeight="true" outlineLevel="0" collapsed="false">
      <c r="B3" s="4"/>
      <c r="C3" s="4"/>
    </row>
    <row r="4" customFormat="false" ht="19.5" hidden="false" customHeight="true" outlineLevel="0" collapsed="false">
      <c r="B4" s="18" t="s">
        <v>121</v>
      </c>
      <c r="C4" s="18"/>
    </row>
    <row r="6" customFormat="false" ht="24" hidden="false" customHeight="true" outlineLevel="0" collapsed="false">
      <c r="B6" s="5" t="s">
        <v>122</v>
      </c>
      <c r="C6" s="5"/>
    </row>
    <row r="7" customFormat="false" ht="27.75" hidden="false" customHeight="true" outlineLevel="0" collapsed="false">
      <c r="B7" s="44" t="s">
        <v>123</v>
      </c>
      <c r="C7" s="40" t="n">
        <f aca="false">'IDEA SNAPSHOT'!C15</f>
        <v>2999</v>
      </c>
    </row>
    <row r="8" customFormat="false" ht="27.75" hidden="false" customHeight="true" outlineLevel="0" collapsed="false">
      <c r="B8" s="45" t="s">
        <v>124</v>
      </c>
      <c r="C8" s="47" t="n">
        <f aca="false">'IDEA SNAPSHOT'!C16</f>
        <v>10</v>
      </c>
    </row>
    <row r="9" customFormat="false" ht="27.75" hidden="false" customHeight="true" outlineLevel="0" collapsed="false">
      <c r="B9" s="44" t="s">
        <v>125</v>
      </c>
      <c r="C9" s="48" t="n">
        <f aca="false">'BREAK-EVEN ENGINE'!C28</f>
        <v>1</v>
      </c>
    </row>
    <row r="10" customFormat="false" ht="27.75" hidden="false" customHeight="true" outlineLevel="0" collapsed="false">
      <c r="B10" s="45" t="s">
        <v>126</v>
      </c>
      <c r="C10" s="42" t="n">
        <f aca="false">'BREAK-EVEN ENGINE'!C29</f>
        <v>2999</v>
      </c>
    </row>
    <row r="11" customFormat="false" ht="27.75" hidden="false" customHeight="true" outlineLevel="0" collapsed="false">
      <c r="B11" s="44" t="s">
        <v>74</v>
      </c>
      <c r="C11" s="49" t="n">
        <f aca="false">'BREAK-EVEN ENGINE'!C26</f>
        <v>0.98</v>
      </c>
    </row>
    <row r="12" customFormat="false" ht="27.75" hidden="false" customHeight="true" outlineLevel="0" collapsed="false">
      <c r="B12" s="45" t="s">
        <v>127</v>
      </c>
      <c r="C12" s="42" t="n">
        <f aca="false">'RUNWAY PLANNER'!C33</f>
        <v>-7755.81161247219</v>
      </c>
    </row>
    <row r="13" customFormat="false" ht="27.75" hidden="false" customHeight="true" outlineLevel="0" collapsed="false">
      <c r="B13" s="44" t="s">
        <v>128</v>
      </c>
      <c r="C13" s="50" t="n">
        <f aca="false">'RUNWAY PLANNER'!C34</f>
        <v>1.6</v>
      </c>
    </row>
    <row r="15" customFormat="false" ht="24" hidden="false" customHeight="true" outlineLevel="0" collapsed="false">
      <c r="B15" s="51" t="s">
        <v>129</v>
      </c>
      <c r="C15" s="51"/>
    </row>
    <row r="16" customFormat="false" ht="48" hidden="false" customHeight="true" outlineLevel="0" collapsed="false">
      <c r="B16" s="52" t="str">
        <f aca="false">IF(AND(ISNUMBER(C9),ISNUMBER(C13)),IF(AND(C9&lt;=C8*0.5,C13&gt;6),"GREEN  |  VIABLE — Break-even is within reach. Launch with confidence.",IF(C9&gt;C8*2,"RED  |  HIGH RISK — Break-even requires 2x+ your Month-1 estimate. Fix first.","AMBER  |  MARGINAL — Close, but adjust pricing or costs before launching.")),"Fill in Tabs 2-4 to unlock your verdict.")</f>
        <v>AMBER  |  MARGINAL — Close, but adjust pricing or costs before launching.</v>
      </c>
      <c r="C16" s="52"/>
    </row>
    <row r="18" customFormat="false" ht="24" hidden="false" customHeight="true" outlineLevel="0" collapsed="false">
      <c r="B18" s="9" t="s">
        <v>130</v>
      </c>
      <c r="C18" s="9"/>
    </row>
    <row r="19" customFormat="false" ht="42" hidden="false" customHeight="true" outlineLevel="0" collapsed="false">
      <c r="B19" s="53" t="s">
        <v>131</v>
      </c>
      <c r="C19" s="54" t="s">
        <v>132</v>
      </c>
    </row>
    <row r="20" customFormat="false" ht="42" hidden="false" customHeight="true" outlineLevel="0" collapsed="false">
      <c r="B20" s="55" t="s">
        <v>133</v>
      </c>
      <c r="C20" s="56" t="s">
        <v>134</v>
      </c>
    </row>
    <row r="21" customFormat="false" ht="42" hidden="false" customHeight="true" outlineLevel="0" collapsed="false">
      <c r="B21" s="57" t="s">
        <v>135</v>
      </c>
      <c r="C21" s="54" t="s">
        <v>136</v>
      </c>
    </row>
    <row r="23" customFormat="false" ht="36" hidden="false" customHeight="true" outlineLevel="0" collapsed="false">
      <c r="B23" s="58" t="s">
        <v>137</v>
      </c>
      <c r="C23" s="58"/>
    </row>
  </sheetData>
  <mergeCells count="9">
    <mergeCell ref="B1:C1"/>
    <mergeCell ref="B2:C2"/>
    <mergeCell ref="B3:C3"/>
    <mergeCell ref="B4:C4"/>
    <mergeCell ref="B6:C6"/>
    <mergeCell ref="B15:C15"/>
    <mergeCell ref="B16:C16"/>
    <mergeCell ref="B18:C18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2026-04-20T17:27:34Z</dcterms:created>
  <dc:creator>openpyxl</dc:creator>
  <dc:description/>
  <dc:language>en-US</dc:language>
  <cp:lastModifiedBy/>
  <dcterms:modified xsi:type="dcterms:W3CDTF">2026-04-20T17:27:34Z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