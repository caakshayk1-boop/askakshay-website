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8_{D03AF62E-CAFA-4FCB-A9AE-7A5EE08268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Assumptions" sheetId="2" r:id="rId2"/>
    <sheet name="P&amp;L" sheetId="3" r:id="rId3"/>
    <sheet name="Cash Flow" sheetId="4" r:id="rId4"/>
    <sheet name="NPV &amp; IRR" sheetId="5" r:id="rId5"/>
    <sheet name="ROI Analysis" sheetId="6" r:id="rId6"/>
    <sheet name="Sensitivity" sheetId="7" r:id="rId7"/>
    <sheet name="Decis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8" l="1"/>
  <c r="C9" i="8"/>
  <c r="H22" i="7"/>
  <c r="G22" i="7"/>
  <c r="F22" i="7"/>
  <c r="E22" i="7"/>
  <c r="D22" i="7"/>
  <c r="C22" i="7"/>
  <c r="H21" i="7"/>
  <c r="G21" i="7"/>
  <c r="F21" i="7"/>
  <c r="E21" i="7"/>
  <c r="D21" i="7"/>
  <c r="C21" i="7"/>
  <c r="H20" i="7"/>
  <c r="G20" i="7"/>
  <c r="F20" i="7"/>
  <c r="E20" i="7"/>
  <c r="D20" i="7"/>
  <c r="C20" i="7"/>
  <c r="H19" i="7"/>
  <c r="G19" i="7"/>
  <c r="F19" i="7"/>
  <c r="E19" i="7"/>
  <c r="D19" i="7"/>
  <c r="C19" i="7"/>
  <c r="H18" i="7"/>
  <c r="G18" i="7"/>
  <c r="F18" i="7"/>
  <c r="E18" i="7"/>
  <c r="D18" i="7"/>
  <c r="C18" i="7"/>
  <c r="H17" i="7"/>
  <c r="G17" i="7"/>
  <c r="F17" i="7"/>
  <c r="E17" i="7"/>
  <c r="D17" i="7"/>
  <c r="C17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H9" i="7"/>
  <c r="G9" i="7"/>
  <c r="F9" i="7"/>
  <c r="E9" i="7"/>
  <c r="D9" i="7"/>
  <c r="C9" i="7"/>
  <c r="H8" i="7"/>
  <c r="G8" i="7"/>
  <c r="F8" i="7"/>
  <c r="E8" i="7"/>
  <c r="D8" i="7"/>
  <c r="C8" i="7"/>
  <c r="H7" i="7"/>
  <c r="G7" i="7"/>
  <c r="F7" i="7"/>
  <c r="E7" i="7"/>
  <c r="D7" i="7"/>
  <c r="C7" i="7"/>
  <c r="C9" i="6"/>
  <c r="C35" i="5"/>
  <c r="C34" i="5"/>
  <c r="C29" i="1" s="1"/>
  <c r="E19" i="5"/>
  <c r="E35" i="5" s="1"/>
  <c r="E30" i="1" s="1"/>
  <c r="E18" i="5"/>
  <c r="E34" i="5" s="1"/>
  <c r="E29" i="1" s="1"/>
  <c r="D12" i="5"/>
  <c r="D11" i="5"/>
  <c r="D10" i="5"/>
  <c r="D9" i="5"/>
  <c r="D8" i="5"/>
  <c r="D7" i="5"/>
  <c r="G16" i="4"/>
  <c r="H15" i="4"/>
  <c r="I15" i="4" s="1"/>
  <c r="H14" i="4"/>
  <c r="H16" i="4" s="1"/>
  <c r="G14" i="4"/>
  <c r="F14" i="4"/>
  <c r="F16" i="4" s="1"/>
  <c r="E14" i="4"/>
  <c r="E16" i="4" s="1"/>
  <c r="D14" i="4"/>
  <c r="D16" i="4" s="1"/>
  <c r="I13" i="4"/>
  <c r="C13" i="4"/>
  <c r="C16" i="4" s="1"/>
  <c r="C10" i="4"/>
  <c r="C19" i="4" s="1"/>
  <c r="I9" i="4"/>
  <c r="G15" i="3"/>
  <c r="F15" i="3"/>
  <c r="E15" i="3"/>
  <c r="D15" i="3"/>
  <c r="C15" i="3"/>
  <c r="H15" i="3" s="1"/>
  <c r="G13" i="3"/>
  <c r="H13" i="3" s="1"/>
  <c r="F13" i="3"/>
  <c r="G8" i="4" s="1"/>
  <c r="E13" i="3"/>
  <c r="F8" i="4" s="1"/>
  <c r="D13" i="3"/>
  <c r="E8" i="4" s="1"/>
  <c r="C13" i="3"/>
  <c r="D8" i="4" s="1"/>
  <c r="C10" i="3"/>
  <c r="C7" i="3"/>
  <c r="C6" i="3"/>
  <c r="C7" i="2"/>
  <c r="B4" i="8" s="1"/>
  <c r="C30" i="1"/>
  <c r="I16" i="4" l="1"/>
  <c r="H10" i="3"/>
  <c r="C7" i="5"/>
  <c r="C22" i="4"/>
  <c r="I8" i="4"/>
  <c r="I14" i="4"/>
  <c r="D6" i="3"/>
  <c r="D10" i="3"/>
  <c r="E10" i="3" s="1"/>
  <c r="F10" i="3" s="1"/>
  <c r="G10" i="3" s="1"/>
  <c r="C25" i="8"/>
  <c r="H8" i="4"/>
  <c r="C8" i="3"/>
  <c r="E6" i="3" l="1"/>
  <c r="D25" i="8"/>
  <c r="D7" i="3"/>
  <c r="C11" i="3"/>
  <c r="C9" i="3"/>
  <c r="C17" i="5"/>
  <c r="C16" i="5"/>
  <c r="E7" i="5"/>
  <c r="C15" i="5" s="1"/>
  <c r="C32" i="5" l="1"/>
  <c r="C25" i="1" s="1"/>
  <c r="E15" i="5"/>
  <c r="C14" i="8"/>
  <c r="C20" i="8"/>
  <c r="C16" i="6"/>
  <c r="C20" i="5"/>
  <c r="E20" i="5" s="1"/>
  <c r="C15" i="8"/>
  <c r="C33" i="5"/>
  <c r="C26" i="1" s="1"/>
  <c r="E16" i="5"/>
  <c r="C17" i="6"/>
  <c r="C16" i="8"/>
  <c r="E17" i="5"/>
  <c r="E25" i="8"/>
  <c r="E9" i="3"/>
  <c r="F6" i="3"/>
  <c r="E7" i="3"/>
  <c r="E8" i="3"/>
  <c r="E11" i="3" s="1"/>
  <c r="C14" i="3"/>
  <c r="C26" i="8"/>
  <c r="C12" i="3"/>
  <c r="D8" i="3"/>
  <c r="C16" i="3" l="1"/>
  <c r="E14" i="3"/>
  <c r="E16" i="3" s="1"/>
  <c r="E26" i="8"/>
  <c r="E17" i="6"/>
  <c r="E33" i="5"/>
  <c r="E26" i="1" s="1"/>
  <c r="D11" i="3"/>
  <c r="D9" i="3"/>
  <c r="E12" i="3"/>
  <c r="E16" i="6"/>
  <c r="E32" i="5"/>
  <c r="E25" i="1" s="1"/>
  <c r="G6" i="3"/>
  <c r="F8" i="3"/>
  <c r="F11" i="3" s="1"/>
  <c r="F14" i="3" s="1"/>
  <c r="F16" i="3" s="1"/>
  <c r="F7" i="3"/>
  <c r="F17" i="3" l="1"/>
  <c r="F18" i="3"/>
  <c r="F12" i="3"/>
  <c r="D26" i="8"/>
  <c r="D14" i="3"/>
  <c r="D12" i="3"/>
  <c r="H11" i="3"/>
  <c r="C11" i="8" s="1"/>
  <c r="G7" i="3"/>
  <c r="G8" i="3"/>
  <c r="G11" i="3" s="1"/>
  <c r="G14" i="3" s="1"/>
  <c r="G16" i="3" s="1"/>
  <c r="F9" i="3"/>
  <c r="H6" i="3"/>
  <c r="E17" i="3"/>
  <c r="E18" i="3"/>
  <c r="H7" i="3"/>
  <c r="C17" i="3"/>
  <c r="C18" i="3"/>
  <c r="H8" i="3"/>
  <c r="E27" i="8" l="1"/>
  <c r="F7" i="4"/>
  <c r="F10" i="4" s="1"/>
  <c r="F19" i="4" s="1"/>
  <c r="E19" i="3"/>
  <c r="C6" i="6"/>
  <c r="H9" i="3"/>
  <c r="H12" i="3"/>
  <c r="C10" i="8"/>
  <c r="D16" i="3"/>
  <c r="H14" i="3"/>
  <c r="D7" i="4"/>
  <c r="C19" i="3"/>
  <c r="C27" i="8"/>
  <c r="G17" i="3"/>
  <c r="G18" i="3" s="1"/>
  <c r="G12" i="3"/>
  <c r="G9" i="3"/>
  <c r="G7" i="4"/>
  <c r="G10" i="4" s="1"/>
  <c r="G19" i="4" s="1"/>
  <c r="C11" i="5" s="1"/>
  <c r="E11" i="5" s="1"/>
  <c r="F19" i="3"/>
  <c r="H7" i="4" l="1"/>
  <c r="H10" i="4" s="1"/>
  <c r="H19" i="4" s="1"/>
  <c r="C12" i="5" s="1"/>
  <c r="E12" i="5" s="1"/>
  <c r="G19" i="3"/>
  <c r="D10" i="4"/>
  <c r="E28" i="8"/>
  <c r="C10" i="5"/>
  <c r="E10" i="5" s="1"/>
  <c r="D17" i="3"/>
  <c r="H17" i="3" s="1"/>
  <c r="D18" i="3"/>
  <c r="H16" i="3"/>
  <c r="E7" i="4" l="1"/>
  <c r="D27" i="8"/>
  <c r="D19" i="3"/>
  <c r="H18" i="3"/>
  <c r="D19" i="4"/>
  <c r="C28" i="8" l="1"/>
  <c r="C8" i="5"/>
  <c r="E8" i="5" s="1"/>
  <c r="D22" i="4"/>
  <c r="C12" i="8"/>
  <c r="H19" i="3"/>
  <c r="E10" i="4"/>
  <c r="I7" i="4"/>
  <c r="E19" i="4" l="1"/>
  <c r="I10" i="4"/>
  <c r="C7" i="6" s="1"/>
  <c r="C14" i="6" s="1"/>
  <c r="E14" i="6" s="1"/>
  <c r="E22" i="4"/>
  <c r="F22" i="4" s="1"/>
  <c r="G22" i="4" s="1"/>
  <c r="H22" i="4" s="1"/>
  <c r="I22" i="4"/>
  <c r="D28" i="8" l="1"/>
  <c r="C9" i="5"/>
  <c r="E9" i="5" s="1"/>
  <c r="I19" i="4"/>
  <c r="C8" i="6" l="1"/>
  <c r="C13" i="8"/>
  <c r="C15" i="6" l="1"/>
  <c r="E15" i="6" s="1"/>
  <c r="C12" i="6"/>
  <c r="C27" i="1" l="1"/>
  <c r="E12" i="6"/>
  <c r="E27" i="1" s="1"/>
  <c r="C13" i="6"/>
  <c r="C17" i="8"/>
  <c r="B6" i="8"/>
  <c r="C5" i="8" s="1"/>
  <c r="B20" i="6"/>
  <c r="C31" i="1" l="1"/>
  <c r="E31" i="1"/>
  <c r="E13" i="6"/>
  <c r="E28" i="1" s="1"/>
  <c r="C28" i="1"/>
  <c r="C18" i="8"/>
</calcChain>
</file>

<file path=xl/sharedStrings.xml><?xml version="1.0" encoding="utf-8"?>
<sst xmlns="http://schemas.openxmlformats.org/spreadsheetml/2006/main" count="257" uniqueCount="221">
  <si>
    <t>NPV &amp; ROI Advanced Investment Calculator</t>
  </si>
  <si>
    <t>Evaluate any project with institutional-grade financial rigour  |  Hurdle Rate: 12% ROI</t>
  </si>
  <si>
    <t>Built by Akshay K Kothari, CA · FP&amp;A Consultant · askakshay.com</t>
  </si>
  <si>
    <t>COLOUR CODING GUIDE</t>
  </si>
  <si>
    <t>Input cells (blue) — change freely</t>
  </si>
  <si>
    <t>Formulas (black) — do not edit</t>
  </si>
  <si>
    <t>Cross-sheet links (green)</t>
  </si>
  <si>
    <t>⚠  Highlighted assumptions</t>
  </si>
  <si>
    <t>✅ Invest  /  ❌ Don't invest</t>
  </si>
  <si>
    <t>WORKSHEET NAVIGATOR</t>
  </si>
  <si>
    <t>1. Assumptions</t>
  </si>
  <si>
    <t>Project inputs: investment, revenue, costs, discount rate</t>
  </si>
  <si>
    <t>2. Profit &amp; Loss</t>
  </si>
  <si>
    <t>5-Year P&amp;L: Revenue → EBITDA → PAT</t>
  </si>
  <si>
    <t>3. Cash Flow</t>
  </si>
  <si>
    <t>Operating, Investing &amp; Free Cash Flow to Firm</t>
  </si>
  <si>
    <t>4. NPV &amp; IRR</t>
  </si>
  <si>
    <t>Net Present Value, IRR, MIRR, Payback Period</t>
  </si>
  <si>
    <t>5. ROI Analysis</t>
  </si>
  <si>
    <t>Return on Investment vs 12% Hurdle Rate — Invest/Pass</t>
  </si>
  <si>
    <t>6. Sensitivity</t>
  </si>
  <si>
    <t>NPV &amp; ROI sensitivity to key assumption changes</t>
  </si>
  <si>
    <t>7. Decision Summary</t>
  </si>
  <si>
    <t>One-page investment recommendation with all key metrics</t>
  </si>
  <si>
    <t>LIVE DECISION SUMMARY  (updates automatically as you edit Assumptions)</t>
  </si>
  <si>
    <t>Metric</t>
  </si>
  <si>
    <t>Value</t>
  </si>
  <si>
    <t>Hurdle / Benchmark</t>
  </si>
  <si>
    <t>Status</t>
  </si>
  <si>
    <t>NPV (₹)</t>
  </si>
  <si>
    <t>&gt; 0</t>
  </si>
  <si>
    <t>IRR (%)</t>
  </si>
  <si>
    <t>&gt; 12%</t>
  </si>
  <si>
    <t>Simple ROI (%)</t>
  </si>
  <si>
    <t>≥ 12%</t>
  </si>
  <si>
    <t>Annualised ROI (%)</t>
  </si>
  <si>
    <t>Payback Period</t>
  </si>
  <si>
    <t>&lt; 5 Years</t>
  </si>
  <si>
    <t>Disc. Payback</t>
  </si>
  <si>
    <t>&lt; Project Life</t>
  </si>
  <si>
    <t>INVEST?</t>
  </si>
  <si>
    <t>Hurdle = 12%</t>
  </si>
  <si>
    <t>📌  Start in the Assumptions sheet. All other sheets update automatically. Do NOT edit formula cells (black text).</t>
  </si>
  <si>
    <t>PROJECT ASSUMPTIONS</t>
  </si>
  <si>
    <t>All blue cells are inputs — modify freely | Do not edit black formula cells</t>
  </si>
  <si>
    <t>PROJECT INFORMATION</t>
  </si>
  <si>
    <t>Project Name</t>
  </si>
  <si>
    <t>New Expansion Project</t>
  </si>
  <si>
    <t>Analysis Date</t>
  </si>
  <si>
    <t>Analyst</t>
  </si>
  <si>
    <t>Akshay K Kothari, CA</t>
  </si>
  <si>
    <t>INVESTMENT &amp; HURDLE RATE</t>
  </si>
  <si>
    <t>Initial Investment (₹)</t>
  </si>
  <si>
    <t>Total upfront capital deployed (Year 0)</t>
  </si>
  <si>
    <t>Additional Year 1 Capex (₹)</t>
  </si>
  <si>
    <t>Year 1 maintenance / setup capex</t>
  </si>
  <si>
    <t>Working Capital Required (₹)</t>
  </si>
  <si>
    <t>Net working capital outflow at start</t>
  </si>
  <si>
    <t>Residual / Terminal Value (₹)</t>
  </si>
  <si>
    <t>Estimated salvage value at end of Year 5</t>
  </si>
  <si>
    <t>Hurdle Rate / WACC (%)</t>
  </si>
  <si>
    <t>Minimum acceptable ROI (12% default)</t>
  </si>
  <si>
    <t>Project Life (Years)</t>
  </si>
  <si>
    <t>Number of projection years</t>
  </si>
  <si>
    <t>REVENUE ASSUMPTIONS</t>
  </si>
  <si>
    <t>Year 1 Revenue (₹)</t>
  </si>
  <si>
    <t>Base year revenue</t>
  </si>
  <si>
    <t>Revenue Growth Rate — Yr 2</t>
  </si>
  <si>
    <t>YoY growth rate Year 2</t>
  </si>
  <si>
    <t>Revenue Growth Rate — Yr 3</t>
  </si>
  <si>
    <t>YoY growth rate Year 3</t>
  </si>
  <si>
    <t>Revenue Growth Rate — Yr 4</t>
  </si>
  <si>
    <t>YoY growth rate Year 4</t>
  </si>
  <si>
    <t>Revenue Growth Rate — Yr 5</t>
  </si>
  <si>
    <t>YoY growth rate Year 5</t>
  </si>
  <si>
    <t>COST &amp; MARGIN ASSUMPTIONS</t>
  </si>
  <si>
    <t>COGS as % of Revenue</t>
  </si>
  <si>
    <t>Cost of Goods Sold margin</t>
  </si>
  <si>
    <t>Operating Expenses (₹/yr Yr1)</t>
  </si>
  <si>
    <t>Fixed OpEx in Year 1</t>
  </si>
  <si>
    <t>OpEx Growth Rate (annual)</t>
  </si>
  <si>
    <t>Operating cost escalation</t>
  </si>
  <si>
    <t>Depreciation (₹/yr)</t>
  </si>
  <si>
    <t>Annual straight-line D&amp;A on total capex</t>
  </si>
  <si>
    <t>Interest Expense (₹/yr)</t>
  </si>
  <si>
    <t>Annual debt servicing cost</t>
  </si>
  <si>
    <t>Tax Rate (%)</t>
  </si>
  <si>
    <t>Effective corporate tax rate</t>
  </si>
  <si>
    <t>📌  Yellow cells are key assumptions. The hurdle rate is set to 12% — change in C16 to test scenarios.</t>
  </si>
  <si>
    <t>PROFIT &amp; LOSS STATEMENT</t>
  </si>
  <si>
    <t>5-Year Projection | All formulas link to Assumptions sheet</t>
  </si>
  <si>
    <t>Line Item</t>
  </si>
  <si>
    <t>2025</t>
  </si>
  <si>
    <t>2026</t>
  </si>
  <si>
    <t>2027</t>
  </si>
  <si>
    <t>2028</t>
  </si>
  <si>
    <t>2029</t>
  </si>
  <si>
    <t>5-Yr Total</t>
  </si>
  <si>
    <t>Revenue</t>
  </si>
  <si>
    <t xml:space="preserve">  Cost of Goods Sold (COGS)</t>
  </si>
  <si>
    <t>Gross Profit</t>
  </si>
  <si>
    <t xml:space="preserve">  Gross Margin %</t>
  </si>
  <si>
    <t xml:space="preserve">  Operating Expenses (OpEx)</t>
  </si>
  <si>
    <t>EBITDA</t>
  </si>
  <si>
    <t xml:space="preserve">  EBITDA Margin %</t>
  </si>
  <si>
    <t xml:space="preserve">  Depreciation &amp; Amortisation</t>
  </si>
  <si>
    <t>EBIT</t>
  </si>
  <si>
    <t xml:space="preserve">  Interest Expense</t>
  </si>
  <si>
    <t>EBT (Profit Before Tax)</t>
  </si>
  <si>
    <t xml:space="preserve">  Tax</t>
  </si>
  <si>
    <t>PAT (Net Profit)</t>
  </si>
  <si>
    <t xml:space="preserve">  Net Profit Margin %</t>
  </si>
  <si>
    <t>CASH FLOW STATEMENT</t>
  </si>
  <si>
    <t>Operating · Investing · Financing | Free Cash Flow to Firm (FCFF)</t>
  </si>
  <si>
    <t>Year 0</t>
  </si>
  <si>
    <t>A.  OPERATING CASH FLOW</t>
  </si>
  <si>
    <t xml:space="preserve">  Net Profit (PAT)</t>
  </si>
  <si>
    <t xml:space="preserve">  Add: Depreciation &amp; Amortisation</t>
  </si>
  <si>
    <t xml:space="preserve">  Changes in Working Capital</t>
  </si>
  <si>
    <t>-Assumptions!C13</t>
  </si>
  <si>
    <t>Operating Cash Flow (OCF)</t>
  </si>
  <si>
    <t>B.  INVESTING CASH FLOW</t>
  </si>
  <si>
    <t xml:space="preserve">  Initial Investment (Year 0)</t>
  </si>
  <si>
    <t xml:space="preserve">  Additional Capex</t>
  </si>
  <si>
    <t xml:space="preserve">  Residual / Terminal Value</t>
  </si>
  <si>
    <t>Investing Cash Flow (ICF)</t>
  </si>
  <si>
    <t>C.  FREE CASH FLOW TO FIRM (FCFF)</t>
  </si>
  <si>
    <t>FCFF = OCF + ICF</t>
  </si>
  <si>
    <t>D.  CUMULATIVE CASH FLOW</t>
  </si>
  <si>
    <t>Cumulative FCFF</t>
  </si>
  <si>
    <t>NPV, IRR &amp; PAYBACK ANALYSIS</t>
  </si>
  <si>
    <t>Discounted Cash Flow Model | Hurdle Rate = 12%</t>
  </si>
  <si>
    <t>FCFF SCHEDULE (from Cash Flow sheet)</t>
  </si>
  <si>
    <t>Year</t>
  </si>
  <si>
    <t>FCFF (₹)</t>
  </si>
  <si>
    <t>Discount Factor</t>
  </si>
  <si>
    <t>PV of FCFF (₹)</t>
  </si>
  <si>
    <t>INVESTMENT DECISION METRICS</t>
  </si>
  <si>
    <t>Net Present Value (NPV)</t>
  </si>
  <si>
    <t>NPV &gt; 0 → Accept</t>
  </si>
  <si>
    <t>Internal Rate of Return (IRR)</t>
  </si>
  <si>
    <t>&gt; 12% Hurdle Rate</t>
  </si>
  <si>
    <t>Modified IRR (MIRR)</t>
  </si>
  <si>
    <t>&gt; 12% (finance &amp; reinvest rate)</t>
  </si>
  <si>
    <t>Simple Payback Period</t>
  </si>
  <si>
    <t>Discounted Payback Period</t>
  </si>
  <si>
    <t>Profitability Index (PI)</t>
  </si>
  <si>
    <t>&gt; 1.0x → Accept</t>
  </si>
  <si>
    <t>ROI ANALYSIS vs 12% HURDLE RATE</t>
  </si>
  <si>
    <t>Should you invest? ROI, Cash-on-Cash, Multiple metrics</t>
  </si>
  <si>
    <t>TOTAL RETURN CALCULATION</t>
  </si>
  <si>
    <t>Total Revenue (5 Years)</t>
  </si>
  <si>
    <t>Sum of 5-yr P&amp;L revenue</t>
  </si>
  <si>
    <t>Total Operating Cash Flow (5 Yr)</t>
  </si>
  <si>
    <t>Sum of 5-yr OCF</t>
  </si>
  <si>
    <t>Total FCFF (5 Years)</t>
  </si>
  <si>
    <t>Sum of 5-yr Free Cash Flow</t>
  </si>
  <si>
    <t>Total Initial Investment</t>
  </si>
  <si>
    <t>Initial invest + WC + Year 1 Capex</t>
  </si>
  <si>
    <t>ROI METRICS VS 12% HURDLE RATE</t>
  </si>
  <si>
    <t>Decision vs 12% Hurdle</t>
  </si>
  <si>
    <t>Annualised ROI (CAGR of returns)</t>
  </si>
  <si>
    <t>Cash-on-Cash Return (COCR)</t>
  </si>
  <si>
    <t>Total Value Multiple (TVOM)</t>
  </si>
  <si>
    <t>NPV (from NPV &amp; IRR sheet)</t>
  </si>
  <si>
    <t>IRR vs Hurdle Rate</t>
  </si>
  <si>
    <t>SENSITIVITY ANALYSIS</t>
  </si>
  <si>
    <t>NPV and ROI response to changes in Revenue Growth &amp; Discount Rate</t>
  </si>
  <si>
    <t>TABLE 1 — NPV SENSITIVITY (₹) | Rows = Discount Rate | Columns = Yr-2 Revenue Growth</t>
  </si>
  <si>
    <t>Rate \ Growth →</t>
  </si>
  <si>
    <t>10%</t>
  </si>
  <si>
    <t>15%</t>
  </si>
  <si>
    <t>20%</t>
  </si>
  <si>
    <t>25%</t>
  </si>
  <si>
    <t>30%</t>
  </si>
  <si>
    <t>35%</t>
  </si>
  <si>
    <t>8%</t>
  </si>
  <si>
    <t>12%</t>
  </si>
  <si>
    <t>14%</t>
  </si>
  <si>
    <t>16%</t>
  </si>
  <si>
    <t>18%</t>
  </si>
  <si>
    <t>⬆  Highlighted row = Base case (12% hurdle rate). Green = NPV positive (invest). Red = NPV negative (reject).</t>
  </si>
  <si>
    <t>TABLE 2 — SIMPLE ROI (%) SENSITIVITY | Rows = Year 1 Revenue | Columns = Yr-2 Growth</t>
  </si>
  <si>
    <t>Rev1 \ Growth →</t>
  </si>
  <si>
    <t>₹20L</t>
  </si>
  <si>
    <t>₹25L</t>
  </si>
  <si>
    <t>₹30L</t>
  </si>
  <si>
    <t>₹35L</t>
  </si>
  <si>
    <t>₹40L</t>
  </si>
  <si>
    <t>₹45L</t>
  </si>
  <si>
    <t>⬆  Highlighted row = Base case (₹30L Year 1 Revenue). Green ≥ 12% ROI, Red &lt; 12% ROI.</t>
  </si>
  <si>
    <t>INVESTMENT DECISION — ONE PAGE SUMMARY</t>
  </si>
  <si>
    <t>KEY FINANCIAL METRICS SUMMARY</t>
  </si>
  <si>
    <t>Initial Investment</t>
  </si>
  <si>
    <t>Total capital deployed at Year 0</t>
  </si>
  <si>
    <t>5-Year Total Revenue</t>
  </si>
  <si>
    <t>Cumulative 5-yr revenue</t>
  </si>
  <si>
    <t>5-Year EBITDA</t>
  </si>
  <si>
    <t>Cumulative 5-yr EBITDA</t>
  </si>
  <si>
    <t>5-Year Net Profit (PAT)</t>
  </si>
  <si>
    <t>Cumulative 5-yr PAT</t>
  </si>
  <si>
    <t>5-Year FCFF</t>
  </si>
  <si>
    <t>Total Free Cash Flow to Firm</t>
  </si>
  <si>
    <t>NPV @ Hurdle Rate</t>
  </si>
  <si>
    <t>Net Present Value @ 12%</t>
  </si>
  <si>
    <t>IRR</t>
  </si>
  <si>
    <t>Internal Rate of Return</t>
  </si>
  <si>
    <t>MIRR</t>
  </si>
  <si>
    <t>Modified IRR</t>
  </si>
  <si>
    <t>Simple ROI</t>
  </si>
  <si>
    <t>Total Return / Investment</t>
  </si>
  <si>
    <t>Annualised ROI</t>
  </si>
  <si>
    <t>CAGR of returns</t>
  </si>
  <si>
    <t>Hurdle Rate</t>
  </si>
  <si>
    <t>Minimum acceptable return (12%)</t>
  </si>
  <si>
    <t>Decision</t>
  </si>
  <si>
    <t>NPV gate</t>
  </si>
  <si>
    <t>YEAR-BY-YEAR SNAPSHOT</t>
  </si>
  <si>
    <t>PAT</t>
  </si>
  <si>
    <t>FCFF</t>
  </si>
  <si>
    <t>Built with askakshay.com NPV &amp; ROI Calculator v1.0 | askakshay.com | CA &amp; FP&amp;A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</si>
</sst>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₹#,##0;\(\₹#,##0\);&quot;-&quot;"/>
    <numFmt numFmtId="165" formatCode="0.0%;\(0.0%\);&quot;-&quot;"/>
    <numFmt numFmtId="166" formatCode="0.0&quot; yrs&quot;;\(0.0&quot; yrs&quot;\);&quot;-&quot;"/>
    <numFmt numFmtId="167" formatCode="dd\-mmm\-yyyy"/>
    <numFmt numFmtId="168" formatCode="\₹#,##0;\(\₹#,##0\)"/>
    <numFmt numFmtId="169" formatCode="0.0%"/>
    <numFmt numFmtId="170" formatCode="0.0000"/>
    <numFmt numFmtId="171" formatCode="0.0&quot; yrs&quot;"/>
    <numFmt numFmtId="172" formatCode="0.00\x"/>
    <numFmt numFmtId="173" formatCode="0.0\x"/>
  </numFmts>
  <fonts count="27" x14ac:knownFonts="1">
    <font>
      <sz val="11"/>
      <color theme="1"/>
      <name val="Calibri"/>
      <family val="2"/>
      <scheme val="minor"/>
    </font>
    <font>
      <b/>
      <sz val="22"/>
      <color rgb="FFB8912A"/>
      <name val="Arial"/>
    </font>
    <font>
      <sz val="11"/>
      <color rgb="FFFFFFFF"/>
      <name val="Arial"/>
    </font>
    <font>
      <i/>
      <sz val="9"/>
      <color rgb="FFB8912A"/>
      <name val="Arial"/>
    </font>
    <font>
      <b/>
      <sz val="9"/>
      <color rgb="FF0D2245"/>
      <name val="Arial"/>
    </font>
    <font>
      <b/>
      <sz val="9"/>
      <color rgb="FF0000FF"/>
      <name val="Arial"/>
    </font>
    <font>
      <b/>
      <sz val="9"/>
      <color rgb="FF000000"/>
      <name val="Arial"/>
    </font>
    <font>
      <b/>
      <sz val="9"/>
      <color rgb="FF008000"/>
      <name val="Arial"/>
    </font>
    <font>
      <b/>
      <sz val="11"/>
      <color rgb="FFFFFFFF"/>
      <name val="Arial"/>
    </font>
    <font>
      <b/>
      <sz val="10"/>
      <color rgb="FF0D2245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6B7280"/>
      <name val="Arial"/>
    </font>
    <font>
      <i/>
      <sz val="9"/>
      <color rgb="FF6B7280"/>
      <name val="Arial"/>
    </font>
    <font>
      <b/>
      <sz val="16"/>
      <color rgb="FFB8912A"/>
      <name val="Arial"/>
    </font>
    <font>
      <i/>
      <sz val="9"/>
      <color rgb="FFFFFFFF"/>
      <name val="Arial"/>
    </font>
    <font>
      <sz val="10"/>
      <color rgb="FF0000FF"/>
      <name val="Arial"/>
    </font>
    <font>
      <i/>
      <sz val="9"/>
      <color rgb="FFFF8C00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b/>
      <sz val="14"/>
      <color rgb="FF0D2245"/>
      <name val="Arial"/>
    </font>
    <font>
      <b/>
      <sz val="18"/>
      <color rgb="FFB8912A"/>
      <name val="Arial"/>
    </font>
    <font>
      <sz val="10"/>
      <color rgb="FFFFFFFF"/>
      <name val="Arial"/>
    </font>
    <font>
      <b/>
      <sz val="18"/>
      <color rgb="FF0D2245"/>
      <name val="Arial"/>
    </font>
    <font>
      <sz val="1"/>
      <color rgb="FFFFFFFF"/>
      <name val="Arial"/>
    </font>
    <font>
      <i/>
      <sz val="8"/>
      <color rgb="FF6B728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D2245"/>
      </patternFill>
    </fill>
    <fill>
      <patternFill patternType="solid">
        <fgColor rgb="FFF3F0EB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0FAF5"/>
      </patternFill>
    </fill>
    <fill>
      <patternFill patternType="solid">
        <fgColor rgb="FFFDF8EF"/>
      </patternFill>
    </fill>
    <fill>
      <patternFill patternType="solid">
        <fgColor rgb="FFF9F7F4"/>
      </patternFill>
    </fill>
    <fill>
      <patternFill patternType="solid">
        <fgColor rgb="FFFFD700"/>
      </patternFill>
    </fill>
  </fills>
  <borders count="3">
    <border>
      <left/>
      <right/>
      <top/>
      <bottom/>
      <diagonal/>
    </border>
    <border>
      <left style="thin">
        <color rgb="FFE4DDD0"/>
      </left>
      <right style="thin">
        <color rgb="FFE4DDD0"/>
      </right>
      <top style="thin">
        <color rgb="FFE4DDD0"/>
      </top>
      <bottom style="thin">
        <color rgb="FFE4DDD0"/>
      </bottom>
      <diagonal/>
    </border>
    <border>
      <left style="medium">
        <color rgb="FF0D2245"/>
      </left>
      <right style="medium">
        <color rgb="FF0D2245"/>
      </right>
      <top style="medium">
        <color rgb="FF0D2245"/>
      </top>
      <bottom style="medium">
        <color rgb="FF0D2245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0" fillId="0" borderId="1" xfId="0" applyBorder="1"/>
    <xf numFmtId="167" fontId="17" fillId="4" borderId="1" xfId="0" applyNumberFormat="1" applyFont="1" applyFill="1" applyBorder="1" applyAlignment="1">
      <alignment horizontal="center" vertical="center" wrapText="1"/>
    </xf>
    <xf numFmtId="168" fontId="17" fillId="4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 wrapText="1"/>
    </xf>
    <xf numFmtId="169" fontId="17" fillId="5" borderId="1" xfId="0" applyNumberFormat="1" applyFont="1" applyFill="1" applyBorder="1" applyAlignment="1">
      <alignment horizontal="right" vertical="center"/>
    </xf>
    <xf numFmtId="1" fontId="17" fillId="4" borderId="1" xfId="0" applyNumberFormat="1" applyFont="1" applyFill="1" applyBorder="1" applyAlignment="1">
      <alignment horizontal="right" vertical="center"/>
    </xf>
    <xf numFmtId="169" fontId="17" fillId="4" borderId="1" xfId="0" applyNumberFormat="1" applyFont="1" applyFill="1" applyBorder="1" applyAlignment="1">
      <alignment horizontal="right" vertical="center"/>
    </xf>
    <xf numFmtId="168" fontId="11" fillId="7" borderId="1" xfId="0" applyNumberFormat="1" applyFont="1" applyFill="1" applyBorder="1" applyAlignment="1">
      <alignment horizontal="right" vertical="center"/>
    </xf>
    <xf numFmtId="168" fontId="10" fillId="4" borderId="1" xfId="0" applyNumberFormat="1" applyFont="1" applyFill="1" applyBorder="1" applyAlignment="1">
      <alignment horizontal="right" vertical="center"/>
    </xf>
    <xf numFmtId="168" fontId="10" fillId="3" borderId="1" xfId="0" applyNumberFormat="1" applyFont="1" applyFill="1" applyBorder="1" applyAlignment="1">
      <alignment horizontal="right" vertical="center"/>
    </xf>
    <xf numFmtId="169" fontId="10" fillId="4" borderId="1" xfId="0" applyNumberFormat="1" applyFont="1" applyFill="1" applyBorder="1" applyAlignment="1">
      <alignment horizontal="center" vertical="center" wrapText="1"/>
    </xf>
    <xf numFmtId="169" fontId="10" fillId="3" borderId="1" xfId="0" applyNumberFormat="1" applyFont="1" applyFill="1" applyBorder="1" applyAlignment="1">
      <alignment horizontal="center" vertical="center" wrapText="1"/>
    </xf>
    <xf numFmtId="168" fontId="10" fillId="7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168" fontId="12" fillId="4" borderId="1" xfId="0" applyNumberFormat="1" applyFont="1" applyFill="1" applyBorder="1" applyAlignment="1">
      <alignment horizontal="right" vertical="center"/>
    </xf>
    <xf numFmtId="170" fontId="10" fillId="4" borderId="1" xfId="0" applyNumberFormat="1" applyFont="1" applyFill="1" applyBorder="1" applyAlignment="1">
      <alignment horizontal="center" vertical="center" wrapText="1"/>
    </xf>
    <xf numFmtId="168" fontId="19" fillId="4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9" fontId="19" fillId="4" borderId="1" xfId="0" applyNumberFormat="1" applyFont="1" applyFill="1" applyBorder="1" applyAlignment="1">
      <alignment horizontal="right" vertical="center"/>
    </xf>
    <xf numFmtId="171" fontId="19" fillId="4" borderId="1" xfId="0" applyNumberFormat="1" applyFont="1" applyFill="1" applyBorder="1" applyAlignment="1">
      <alignment horizontal="right" vertical="center"/>
    </xf>
    <xf numFmtId="172" fontId="19" fillId="4" borderId="1" xfId="0" applyNumberFormat="1" applyFont="1" applyFill="1" applyBorder="1" applyAlignment="1">
      <alignment horizontal="right" vertical="center"/>
    </xf>
    <xf numFmtId="168" fontId="0" fillId="0" borderId="0" xfId="0" applyNumberFormat="1"/>
    <xf numFmtId="169" fontId="0" fillId="0" borderId="0" xfId="0" applyNumberFormat="1"/>
    <xf numFmtId="171" fontId="0" fillId="0" borderId="0" xfId="0" applyNumberFormat="1"/>
    <xf numFmtId="169" fontId="20" fillId="4" borderId="1" xfId="0" applyNumberFormat="1" applyFont="1" applyFill="1" applyBorder="1" applyAlignment="1">
      <alignment horizontal="right" vertical="center"/>
    </xf>
    <xf numFmtId="173" fontId="20" fillId="4" borderId="1" xfId="0" applyNumberFormat="1" applyFont="1" applyFill="1" applyBorder="1" applyAlignment="1">
      <alignment horizontal="right" vertical="center"/>
    </xf>
    <xf numFmtId="168" fontId="20" fillId="4" borderId="1" xfId="0" applyNumberFormat="1" applyFont="1" applyFill="1" applyBorder="1" applyAlignment="1">
      <alignment horizontal="right" vertical="center"/>
    </xf>
    <xf numFmtId="168" fontId="10" fillId="0" borderId="1" xfId="0" applyNumberFormat="1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 wrapText="1"/>
    </xf>
    <xf numFmtId="0" fontId="25" fillId="0" borderId="0" xfId="0" applyFont="1"/>
    <xf numFmtId="0" fontId="19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/>
    <xf numFmtId="0" fontId="10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3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left" vertical="center"/>
    </xf>
    <xf numFmtId="0" fontId="24" fillId="7" borderId="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245"/>
  </sheetPr>
  <dimension ref="A1:G32"/>
  <sheetViews>
    <sheetView showGridLines="0" tabSelected="1" workbookViewId="0">
      <selection activeCell="B3" sqref="B3:G3"/>
    </sheetView>
  </sheetViews>
  <sheetFormatPr defaultRowHeight="14.5" x14ac:dyDescent="0.35"/>
  <cols>
    <col min="1" max="1" width="2" customWidth="1"/>
    <col min="2" max="2" width="30" customWidth="1"/>
    <col min="3" max="6" width="22" customWidth="1"/>
  </cols>
  <sheetData>
    <row r="1" spans="1:7" ht="8" customHeight="1" x14ac:dyDescent="0.35"/>
    <row r="2" spans="1:7" ht="14" customHeight="1" x14ac:dyDescent="0.35">
      <c r="A2" s="1"/>
      <c r="B2" s="1"/>
      <c r="C2" s="1"/>
      <c r="D2" s="1"/>
      <c r="E2" s="1"/>
      <c r="F2" s="1"/>
      <c r="G2" s="1"/>
    </row>
    <row r="3" spans="1:7" ht="36" customHeight="1" x14ac:dyDescent="0.35">
      <c r="A3" s="1"/>
      <c r="B3" s="58" t="s">
        <v>0</v>
      </c>
      <c r="C3" s="50"/>
      <c r="D3" s="50"/>
      <c r="E3" s="50"/>
      <c r="F3" s="50"/>
      <c r="G3" s="50"/>
    </row>
    <row r="4" spans="1:7" ht="14" customHeight="1" x14ac:dyDescent="0.35">
      <c r="A4" s="1"/>
      <c r="B4" s="57" t="s">
        <v>1</v>
      </c>
      <c r="C4" s="50"/>
      <c r="D4" s="50"/>
      <c r="E4" s="50"/>
      <c r="F4" s="50"/>
      <c r="G4" s="50"/>
    </row>
    <row r="5" spans="1:7" ht="14" customHeight="1" x14ac:dyDescent="0.35">
      <c r="A5" s="1"/>
      <c r="B5" s="54" t="s">
        <v>2</v>
      </c>
      <c r="C5" s="50"/>
      <c r="D5" s="50"/>
      <c r="E5" s="50"/>
      <c r="F5" s="50"/>
      <c r="G5" s="50"/>
    </row>
    <row r="6" spans="1:7" ht="14" customHeight="1" x14ac:dyDescent="0.35">
      <c r="A6" s="1"/>
      <c r="B6" s="1"/>
      <c r="C6" s="1"/>
      <c r="D6" s="1"/>
      <c r="E6" s="1"/>
      <c r="F6" s="1"/>
      <c r="G6" s="1"/>
    </row>
    <row r="7" spans="1:7" ht="14" customHeight="1" x14ac:dyDescent="0.35">
      <c r="A7" s="1"/>
      <c r="B7" s="1"/>
      <c r="C7" s="1"/>
      <c r="D7" s="1"/>
      <c r="E7" s="1"/>
      <c r="F7" s="1"/>
      <c r="G7" s="1"/>
    </row>
    <row r="8" spans="1:7" ht="14" customHeight="1" x14ac:dyDescent="0.35">
      <c r="A8" s="1"/>
      <c r="B8" s="1"/>
      <c r="C8" s="1"/>
      <c r="D8" s="1"/>
      <c r="E8" s="1"/>
      <c r="F8" s="1"/>
      <c r="G8" s="1"/>
    </row>
    <row r="9" spans="1:7" ht="14" customHeight="1" x14ac:dyDescent="0.35">
      <c r="A9" s="1"/>
      <c r="B9" s="1"/>
      <c r="C9" s="1"/>
      <c r="D9" s="1"/>
      <c r="E9" s="1"/>
      <c r="F9" s="1"/>
      <c r="G9" s="1"/>
    </row>
    <row r="10" spans="1:7" ht="10" customHeight="1" x14ac:dyDescent="0.35"/>
    <row r="11" spans="1:7" ht="18" customHeight="1" x14ac:dyDescent="0.35">
      <c r="B11" s="60" t="s">
        <v>3</v>
      </c>
      <c r="C11" s="50"/>
      <c r="D11" s="50"/>
      <c r="E11" s="50"/>
      <c r="F11" s="50"/>
      <c r="G11" s="50"/>
    </row>
    <row r="12" spans="1:7" ht="30" customHeight="1" x14ac:dyDescent="0.35">
      <c r="B12" s="53" t="s">
        <v>4</v>
      </c>
      <c r="C12" s="59" t="s">
        <v>5</v>
      </c>
      <c r="D12" s="48" t="s">
        <v>6</v>
      </c>
      <c r="E12" s="52" t="s">
        <v>7</v>
      </c>
      <c r="F12" s="55" t="s">
        <v>8</v>
      </c>
    </row>
    <row r="13" spans="1:7" ht="12" customHeight="1" x14ac:dyDescent="0.35"/>
    <row r="14" spans="1:7" ht="22" customHeight="1" x14ac:dyDescent="0.35">
      <c r="B14" s="49" t="s">
        <v>9</v>
      </c>
      <c r="C14" s="50"/>
      <c r="D14" s="50"/>
      <c r="E14" s="50"/>
      <c r="F14" s="50"/>
      <c r="G14" s="50"/>
    </row>
    <row r="15" spans="1:7" ht="22" customHeight="1" x14ac:dyDescent="0.35">
      <c r="B15" s="3" t="s">
        <v>10</v>
      </c>
      <c r="C15" s="51" t="s">
        <v>11</v>
      </c>
      <c r="D15" s="50"/>
      <c r="E15" s="50"/>
      <c r="F15" s="50"/>
      <c r="G15" s="50"/>
    </row>
    <row r="16" spans="1:7" ht="22" customHeight="1" x14ac:dyDescent="0.35">
      <c r="B16" s="3" t="s">
        <v>12</v>
      </c>
      <c r="C16" s="51" t="s">
        <v>13</v>
      </c>
      <c r="D16" s="50"/>
      <c r="E16" s="50"/>
      <c r="F16" s="50"/>
      <c r="G16" s="50"/>
    </row>
    <row r="17" spans="2:7" ht="22" customHeight="1" x14ac:dyDescent="0.35">
      <c r="B17" s="3" t="s">
        <v>14</v>
      </c>
      <c r="C17" s="51" t="s">
        <v>15</v>
      </c>
      <c r="D17" s="50"/>
      <c r="E17" s="50"/>
      <c r="F17" s="50"/>
      <c r="G17" s="50"/>
    </row>
    <row r="18" spans="2:7" ht="22" customHeight="1" x14ac:dyDescent="0.35">
      <c r="B18" s="3" t="s">
        <v>16</v>
      </c>
      <c r="C18" s="51" t="s">
        <v>17</v>
      </c>
      <c r="D18" s="50"/>
      <c r="E18" s="50"/>
      <c r="F18" s="50"/>
      <c r="G18" s="50"/>
    </row>
    <row r="19" spans="2:7" ht="22" customHeight="1" x14ac:dyDescent="0.35">
      <c r="B19" s="3" t="s">
        <v>18</v>
      </c>
      <c r="C19" s="51" t="s">
        <v>19</v>
      </c>
      <c r="D19" s="50"/>
      <c r="E19" s="50"/>
      <c r="F19" s="50"/>
      <c r="G19" s="50"/>
    </row>
    <row r="20" spans="2:7" ht="22" customHeight="1" x14ac:dyDescent="0.35">
      <c r="B20" s="3" t="s">
        <v>20</v>
      </c>
      <c r="C20" s="51" t="s">
        <v>21</v>
      </c>
      <c r="D20" s="50"/>
      <c r="E20" s="50"/>
      <c r="F20" s="50"/>
      <c r="G20" s="50"/>
    </row>
    <row r="21" spans="2:7" ht="22" customHeight="1" x14ac:dyDescent="0.35">
      <c r="B21" s="3" t="s">
        <v>22</v>
      </c>
      <c r="C21" s="51" t="s">
        <v>23</v>
      </c>
      <c r="D21" s="50"/>
      <c r="E21" s="50"/>
      <c r="F21" s="50"/>
      <c r="G21" s="50"/>
    </row>
    <row r="22" spans="2:7" ht="12" customHeight="1" x14ac:dyDescent="0.35"/>
    <row r="23" spans="2:7" ht="22" customHeight="1" x14ac:dyDescent="0.35">
      <c r="B23" s="49" t="s">
        <v>24</v>
      </c>
      <c r="C23" s="50"/>
      <c r="D23" s="50"/>
      <c r="E23" s="50"/>
      <c r="F23" s="50"/>
      <c r="G23" s="50"/>
    </row>
    <row r="24" spans="2:7" ht="20" customHeight="1" x14ac:dyDescent="0.35">
      <c r="B24" s="5" t="s">
        <v>25</v>
      </c>
      <c r="C24" s="5" t="s">
        <v>26</v>
      </c>
      <c r="D24" s="5" t="s">
        <v>27</v>
      </c>
      <c r="E24" s="5" t="s">
        <v>28</v>
      </c>
    </row>
    <row r="25" spans="2:7" ht="22" customHeight="1" x14ac:dyDescent="0.35">
      <c r="B25" s="6" t="s">
        <v>29</v>
      </c>
      <c r="C25" s="7" t="e">
        <f>'NPV &amp; IRR'!C32</f>
        <v>#VALUE!</v>
      </c>
      <c r="D25" s="8" t="s">
        <v>30</v>
      </c>
      <c r="E25" s="9" t="e">
        <f>'NPV &amp; IRR'!E32</f>
        <v>#VALUE!</v>
      </c>
    </row>
    <row r="26" spans="2:7" ht="22" customHeight="1" x14ac:dyDescent="0.35">
      <c r="B26" s="6" t="s">
        <v>31</v>
      </c>
      <c r="C26" s="10" t="str">
        <f>'NPV &amp; IRR'!C33</f>
        <v>N/A</v>
      </c>
      <c r="D26" s="8" t="s">
        <v>32</v>
      </c>
      <c r="E26" s="9" t="str">
        <f>'NPV &amp; IRR'!E33</f>
        <v>✅ ABOVE HURDLE</v>
      </c>
    </row>
    <row r="27" spans="2:7" ht="22" customHeight="1" x14ac:dyDescent="0.35">
      <c r="B27" s="6" t="s">
        <v>33</v>
      </c>
      <c r="C27" s="10" t="str">
        <f>'ROI Analysis'!C12</f>
        <v>N/A</v>
      </c>
      <c r="D27" s="8" t="s">
        <v>34</v>
      </c>
      <c r="E27" s="9" t="str">
        <f>'ROI Analysis'!E12</f>
        <v>✅ PASS</v>
      </c>
    </row>
    <row r="28" spans="2:7" ht="22" customHeight="1" x14ac:dyDescent="0.35">
      <c r="B28" s="6" t="s">
        <v>35</v>
      </c>
      <c r="C28" s="10" t="str">
        <f>'ROI Analysis'!C13</f>
        <v>N/A</v>
      </c>
      <c r="D28" s="8" t="s">
        <v>34</v>
      </c>
      <c r="E28" s="9" t="str">
        <f>'ROI Analysis'!E13</f>
        <v>✅ PASS</v>
      </c>
    </row>
    <row r="29" spans="2:7" ht="22" customHeight="1" x14ac:dyDescent="0.35">
      <c r="B29" s="6" t="s">
        <v>36</v>
      </c>
      <c r="C29" s="11">
        <f>'NPV &amp; IRR'!C34</f>
        <v>0</v>
      </c>
      <c r="D29" s="8" t="s">
        <v>37</v>
      </c>
      <c r="E29" s="9" t="str">
        <f>'NPV &amp; IRR'!E34</f>
        <v>✅ WITHIN LIFE</v>
      </c>
    </row>
    <row r="30" spans="2:7" ht="22" customHeight="1" x14ac:dyDescent="0.35">
      <c r="B30" s="6" t="s">
        <v>38</v>
      </c>
      <c r="C30" s="11">
        <f>'NPV &amp; IRR'!C35</f>
        <v>0</v>
      </c>
      <c r="D30" s="8" t="s">
        <v>39</v>
      </c>
      <c r="E30" s="9" t="str">
        <f>'NPV &amp; IRR'!E35</f>
        <v>✅ WITHIN LIFE</v>
      </c>
    </row>
    <row r="31" spans="2:7" ht="22" customHeight="1" x14ac:dyDescent="0.35">
      <c r="B31" s="6" t="s">
        <v>40</v>
      </c>
      <c r="C31" s="9" t="e">
        <f>Decision!C5</f>
        <v>#VALUE!</v>
      </c>
      <c r="D31" s="8" t="s">
        <v>41</v>
      </c>
      <c r="E31" s="9" t="e">
        <f>Decision!C5</f>
        <v>#VALUE!</v>
      </c>
    </row>
    <row r="32" spans="2:7" ht="12" customHeight="1" x14ac:dyDescent="0.35">
      <c r="B32" s="56" t="s">
        <v>42</v>
      </c>
      <c r="C32" s="50"/>
      <c r="D32" s="50"/>
      <c r="E32" s="50"/>
      <c r="F32" s="50"/>
      <c r="G32" s="50"/>
    </row>
  </sheetData>
  <mergeCells count="19">
    <mergeCell ref="B3:G3"/>
    <mergeCell ref="C12"/>
    <mergeCell ref="C19:G19"/>
    <mergeCell ref="C18:G18"/>
    <mergeCell ref="B11:G11"/>
    <mergeCell ref="B5:G5"/>
    <mergeCell ref="F12"/>
    <mergeCell ref="B32:G32"/>
    <mergeCell ref="B4:G4"/>
    <mergeCell ref="C17:G17"/>
    <mergeCell ref="D12"/>
    <mergeCell ref="B14:G14"/>
    <mergeCell ref="C15:G15"/>
    <mergeCell ref="B23:G23"/>
    <mergeCell ref="C20:G20"/>
    <mergeCell ref="E12"/>
    <mergeCell ref="C16:G16"/>
    <mergeCell ref="C21:G21"/>
    <mergeCell ref="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912A"/>
  </sheetPr>
  <dimension ref="A1:F34"/>
  <sheetViews>
    <sheetView showGridLines="0" workbookViewId="0">
      <selection activeCell="C7" sqref="C7"/>
    </sheetView>
  </sheetViews>
  <sheetFormatPr defaultRowHeight="14.5" x14ac:dyDescent="0.35"/>
  <cols>
    <col min="1" max="1" width="2" customWidth="1"/>
    <col min="2" max="2" width="32" customWidth="1"/>
    <col min="3" max="3" width="20" customWidth="1"/>
    <col min="4" max="4" width="24" customWidth="1"/>
    <col min="5" max="5" width="18" customWidth="1"/>
  </cols>
  <sheetData>
    <row r="1" spans="1:6" ht="8" customHeight="1" x14ac:dyDescent="0.35">
      <c r="A1" s="1"/>
      <c r="B1" s="1"/>
      <c r="C1" s="1"/>
      <c r="D1" s="1"/>
      <c r="E1" s="1"/>
      <c r="F1" s="1"/>
    </row>
    <row r="2" spans="1:6" ht="30" customHeight="1" x14ac:dyDescent="0.35">
      <c r="A2" s="1"/>
      <c r="B2" s="63" t="s">
        <v>43</v>
      </c>
      <c r="C2" s="50"/>
      <c r="D2" s="50"/>
      <c r="E2" s="50"/>
      <c r="F2" s="50"/>
    </row>
    <row r="3" spans="1:6" ht="8" customHeight="1" x14ac:dyDescent="0.35">
      <c r="A3" s="1"/>
      <c r="B3" s="64" t="s">
        <v>44</v>
      </c>
      <c r="C3" s="50"/>
      <c r="D3" s="50"/>
      <c r="E3" s="50"/>
      <c r="F3" s="50"/>
    </row>
    <row r="5" spans="1:6" ht="20" customHeight="1" x14ac:dyDescent="0.35">
      <c r="B5" s="62" t="s">
        <v>45</v>
      </c>
      <c r="C5" s="50"/>
      <c r="D5" s="50"/>
      <c r="E5" s="50"/>
    </row>
    <row r="6" spans="1:6" ht="22" customHeight="1" x14ac:dyDescent="0.35">
      <c r="B6" s="13" t="s">
        <v>46</v>
      </c>
      <c r="C6" s="14" t="s">
        <v>47</v>
      </c>
      <c r="D6" s="61"/>
      <c r="E6" s="50"/>
    </row>
    <row r="7" spans="1:6" ht="22" customHeight="1" x14ac:dyDescent="0.35">
      <c r="B7" s="13" t="s">
        <v>48</v>
      </c>
      <c r="C7" s="16">
        <f ca="1">TODAY()</f>
        <v>46096</v>
      </c>
      <c r="D7" s="15"/>
    </row>
    <row r="8" spans="1:6" ht="22" customHeight="1" x14ac:dyDescent="0.35">
      <c r="B8" s="13" t="s">
        <v>49</v>
      </c>
      <c r="C8" s="14" t="s">
        <v>50</v>
      </c>
      <c r="D8" s="15"/>
    </row>
    <row r="10" spans="1:6" ht="20" customHeight="1" x14ac:dyDescent="0.35">
      <c r="B10" s="62" t="s">
        <v>51</v>
      </c>
      <c r="C10" s="50"/>
      <c r="D10" s="50"/>
      <c r="E10" s="50"/>
    </row>
    <row r="11" spans="1:6" ht="22" customHeight="1" x14ac:dyDescent="0.35">
      <c r="B11" s="13" t="s">
        <v>52</v>
      </c>
      <c r="C11" s="17">
        <v>5000000</v>
      </c>
      <c r="D11" s="18" t="s">
        <v>53</v>
      </c>
    </row>
    <row r="12" spans="1:6" ht="22" customHeight="1" x14ac:dyDescent="0.35">
      <c r="B12" s="13" t="s">
        <v>54</v>
      </c>
      <c r="C12" s="17">
        <v>500000</v>
      </c>
      <c r="D12" s="18" t="s">
        <v>55</v>
      </c>
    </row>
    <row r="13" spans="1:6" ht="22" customHeight="1" x14ac:dyDescent="0.35">
      <c r="B13" s="13" t="s">
        <v>56</v>
      </c>
      <c r="C13" s="17">
        <v>300000</v>
      </c>
      <c r="D13" s="18" t="s">
        <v>57</v>
      </c>
    </row>
    <row r="14" spans="1:6" ht="22" customHeight="1" x14ac:dyDescent="0.35">
      <c r="B14" s="13" t="s">
        <v>58</v>
      </c>
      <c r="C14" s="17">
        <v>1000000</v>
      </c>
      <c r="D14" s="18" t="s">
        <v>59</v>
      </c>
    </row>
    <row r="15" spans="1:6" ht="8" customHeight="1" x14ac:dyDescent="0.35"/>
    <row r="16" spans="1:6" ht="22" customHeight="1" x14ac:dyDescent="0.35">
      <c r="B16" s="13" t="s">
        <v>60</v>
      </c>
      <c r="C16" s="19">
        <v>0.12</v>
      </c>
      <c r="D16" s="18" t="s">
        <v>61</v>
      </c>
    </row>
    <row r="17" spans="2:5" ht="22" customHeight="1" x14ac:dyDescent="0.35">
      <c r="B17" s="13" t="s">
        <v>62</v>
      </c>
      <c r="C17" s="20">
        <v>5</v>
      </c>
      <c r="D17" s="18" t="s">
        <v>63</v>
      </c>
    </row>
    <row r="19" spans="2:5" ht="20" customHeight="1" x14ac:dyDescent="0.35">
      <c r="B19" s="62" t="s">
        <v>64</v>
      </c>
      <c r="C19" s="50"/>
      <c r="D19" s="50"/>
      <c r="E19" s="50"/>
    </row>
    <row r="20" spans="2:5" ht="22" customHeight="1" x14ac:dyDescent="0.35">
      <c r="B20" s="13" t="s">
        <v>65</v>
      </c>
      <c r="C20" s="17">
        <v>3000000</v>
      </c>
      <c r="D20" s="18" t="s">
        <v>66</v>
      </c>
    </row>
    <row r="21" spans="2:5" ht="22" customHeight="1" x14ac:dyDescent="0.35">
      <c r="B21" s="13" t="s">
        <v>67</v>
      </c>
      <c r="C21" s="19">
        <v>0.2</v>
      </c>
      <c r="D21" s="18" t="s">
        <v>68</v>
      </c>
    </row>
    <row r="22" spans="2:5" ht="22" customHeight="1" x14ac:dyDescent="0.35">
      <c r="B22" s="13" t="s">
        <v>69</v>
      </c>
      <c r="C22" s="19">
        <v>0.18</v>
      </c>
      <c r="D22" s="18" t="s">
        <v>70</v>
      </c>
    </row>
    <row r="23" spans="2:5" ht="22" customHeight="1" x14ac:dyDescent="0.35">
      <c r="B23" s="13" t="s">
        <v>71</v>
      </c>
      <c r="C23" s="19">
        <v>0.15</v>
      </c>
      <c r="D23" s="18" t="s">
        <v>72</v>
      </c>
    </row>
    <row r="24" spans="2:5" ht="22" customHeight="1" x14ac:dyDescent="0.35">
      <c r="B24" s="13" t="s">
        <v>73</v>
      </c>
      <c r="C24" s="19">
        <v>0.12</v>
      </c>
      <c r="D24" s="18" t="s">
        <v>74</v>
      </c>
    </row>
    <row r="26" spans="2:5" ht="20" customHeight="1" x14ac:dyDescent="0.35">
      <c r="B26" s="62" t="s">
        <v>75</v>
      </c>
      <c r="C26" s="50"/>
      <c r="D26" s="50"/>
      <c r="E26" s="50"/>
    </row>
    <row r="27" spans="2:5" ht="22" customHeight="1" x14ac:dyDescent="0.35">
      <c r="B27" s="13" t="s">
        <v>76</v>
      </c>
      <c r="C27" s="21">
        <v>0.45</v>
      </c>
      <c r="D27" s="18" t="s">
        <v>77</v>
      </c>
    </row>
    <row r="28" spans="2:5" ht="22" customHeight="1" x14ac:dyDescent="0.35">
      <c r="B28" s="13" t="s">
        <v>78</v>
      </c>
      <c r="C28" s="17">
        <v>500000</v>
      </c>
      <c r="D28" s="18" t="s">
        <v>79</v>
      </c>
    </row>
    <row r="29" spans="2:5" ht="22" customHeight="1" x14ac:dyDescent="0.35">
      <c r="B29" s="13" t="s">
        <v>80</v>
      </c>
      <c r="C29" s="21">
        <v>0.05</v>
      </c>
      <c r="D29" s="18" t="s">
        <v>81</v>
      </c>
    </row>
    <row r="30" spans="2:5" ht="22" customHeight="1" x14ac:dyDescent="0.35">
      <c r="B30" s="13" t="s">
        <v>82</v>
      </c>
      <c r="C30" s="17">
        <v>900000</v>
      </c>
      <c r="D30" s="18" t="s">
        <v>83</v>
      </c>
    </row>
    <row r="31" spans="2:5" ht="22" customHeight="1" x14ac:dyDescent="0.35">
      <c r="B31" s="13" t="s">
        <v>84</v>
      </c>
      <c r="C31" s="17">
        <v>200000</v>
      </c>
      <c r="D31" s="18" t="s">
        <v>85</v>
      </c>
    </row>
    <row r="32" spans="2:5" ht="22" customHeight="1" x14ac:dyDescent="0.35">
      <c r="B32" s="13" t="s">
        <v>86</v>
      </c>
      <c r="C32" s="21">
        <v>0.25</v>
      </c>
      <c r="D32" s="18" t="s">
        <v>87</v>
      </c>
    </row>
    <row r="33" spans="2:5" ht="8" customHeight="1" x14ac:dyDescent="0.35"/>
    <row r="34" spans="2:5" ht="18" customHeight="1" x14ac:dyDescent="0.35">
      <c r="B34" s="65" t="s">
        <v>88</v>
      </c>
      <c r="C34" s="50"/>
      <c r="D34" s="50"/>
      <c r="E34" s="50"/>
    </row>
  </sheetData>
  <mergeCells count="8">
    <mergeCell ref="B34:E34"/>
    <mergeCell ref="D6:E6"/>
    <mergeCell ref="B26:E26"/>
    <mergeCell ref="B2:F2"/>
    <mergeCell ref="B3:F3"/>
    <mergeCell ref="B5:E5"/>
    <mergeCell ref="B19:E19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7A4F"/>
  </sheetPr>
  <dimension ref="A1:H19"/>
  <sheetViews>
    <sheetView showGridLines="0" workbookViewId="0">
      <selection activeCell="C6" sqref="C6"/>
    </sheetView>
  </sheetViews>
  <sheetFormatPr defaultRowHeight="14.5" x14ac:dyDescent="0.35"/>
  <cols>
    <col min="1" max="1" width="2" customWidth="1"/>
    <col min="2" max="2" width="32" customWidth="1"/>
    <col min="3" max="8" width="16" customWidth="1"/>
  </cols>
  <sheetData>
    <row r="1" spans="1:8" ht="8" customHeight="1" x14ac:dyDescent="0.35">
      <c r="A1" s="1"/>
      <c r="B1" s="1"/>
      <c r="C1" s="1"/>
      <c r="D1" s="1"/>
      <c r="E1" s="1"/>
      <c r="F1" s="1"/>
    </row>
    <row r="2" spans="1:8" ht="30" customHeight="1" x14ac:dyDescent="0.35">
      <c r="A2" s="1"/>
      <c r="B2" s="63" t="s">
        <v>89</v>
      </c>
      <c r="C2" s="50"/>
      <c r="D2" s="50"/>
      <c r="E2" s="50"/>
      <c r="F2" s="50"/>
    </row>
    <row r="3" spans="1:8" ht="8" customHeight="1" x14ac:dyDescent="0.35">
      <c r="A3" s="1"/>
      <c r="B3" s="64" t="s">
        <v>90</v>
      </c>
      <c r="C3" s="50"/>
      <c r="D3" s="50"/>
      <c r="E3" s="50"/>
      <c r="F3" s="50"/>
    </row>
    <row r="5" spans="1:8" ht="22" customHeight="1" x14ac:dyDescent="0.35">
      <c r="B5" s="12" t="s">
        <v>91</v>
      </c>
      <c r="C5" s="5" t="s">
        <v>92</v>
      </c>
      <c r="D5" s="5" t="s">
        <v>93</v>
      </c>
      <c r="E5" s="5" t="s">
        <v>94</v>
      </c>
      <c r="F5" s="5" t="s">
        <v>95</v>
      </c>
      <c r="G5" s="5" t="s">
        <v>96</v>
      </c>
      <c r="H5" s="5" t="s">
        <v>97</v>
      </c>
    </row>
    <row r="6" spans="1:8" ht="22" customHeight="1" x14ac:dyDescent="0.35">
      <c r="B6" s="3" t="s">
        <v>98</v>
      </c>
      <c r="C6" s="22">
        <f>Assumptions!C20</f>
        <v>3000000</v>
      </c>
      <c r="D6" s="22">
        <f>C6*(1+Assumptions!C21)</f>
        <v>3600000</v>
      </c>
      <c r="E6" s="22">
        <f>D6*(1+Assumptions!C22)</f>
        <v>4248000</v>
      </c>
      <c r="F6" s="22">
        <f>E6*(1+Assumptions!C23)</f>
        <v>4885200</v>
      </c>
      <c r="G6" s="22">
        <f>F6*(1+Assumptions!C24)</f>
        <v>5471424.0000000009</v>
      </c>
      <c r="H6" s="22">
        <f>SUM(C6,D6,E6,F6,G6)</f>
        <v>21204624</v>
      </c>
    </row>
    <row r="7" spans="1:8" ht="22" customHeight="1" x14ac:dyDescent="0.35">
      <c r="B7" s="4" t="s">
        <v>99</v>
      </c>
      <c r="C7" s="23">
        <f>C6*Assumptions!C27</f>
        <v>1350000</v>
      </c>
      <c r="D7" s="23">
        <f>D6*Assumptions!C27</f>
        <v>1620000</v>
      </c>
      <c r="E7" s="23">
        <f>E6*Assumptions!C27</f>
        <v>1911600</v>
      </c>
      <c r="F7" s="23">
        <f>F6*Assumptions!C27</f>
        <v>2198340</v>
      </c>
      <c r="G7" s="23">
        <f>G6*Assumptions!C27</f>
        <v>2462140.8000000003</v>
      </c>
      <c r="H7" s="24">
        <f>SUM(C7,D7,E7,F7,G7)</f>
        <v>9542080.8000000007</v>
      </c>
    </row>
    <row r="8" spans="1:8" ht="22" customHeight="1" x14ac:dyDescent="0.35">
      <c r="B8" s="3" t="s">
        <v>100</v>
      </c>
      <c r="C8" s="22">
        <f>C6-C7</f>
        <v>1650000</v>
      </c>
      <c r="D8" s="22">
        <f>D6-D7</f>
        <v>1980000</v>
      </c>
      <c r="E8" s="22">
        <f>E6-E7</f>
        <v>2336400</v>
      </c>
      <c r="F8" s="22">
        <f>F6-F7</f>
        <v>2686860</v>
      </c>
      <c r="G8" s="22">
        <f>G6-G7</f>
        <v>3009283.2000000007</v>
      </c>
      <c r="H8" s="22">
        <f>SUM(C8,D8,E8,F8,G8)</f>
        <v>11662543.200000001</v>
      </c>
    </row>
    <row r="9" spans="1:8" ht="22" customHeight="1" x14ac:dyDescent="0.35">
      <c r="B9" s="4" t="s">
        <v>101</v>
      </c>
      <c r="C9" s="25">
        <f t="shared" ref="C9:H9" si="0">IF(C6=0,0,C8/C6)</f>
        <v>0.55000000000000004</v>
      </c>
      <c r="D9" s="25">
        <f t="shared" si="0"/>
        <v>0.55000000000000004</v>
      </c>
      <c r="E9" s="25">
        <f t="shared" si="0"/>
        <v>0.55000000000000004</v>
      </c>
      <c r="F9" s="25">
        <f t="shared" si="0"/>
        <v>0.55000000000000004</v>
      </c>
      <c r="G9" s="25">
        <f t="shared" si="0"/>
        <v>0.55000000000000004</v>
      </c>
      <c r="H9" s="26">
        <f t="shared" si="0"/>
        <v>0.55000000000000004</v>
      </c>
    </row>
    <row r="10" spans="1:8" ht="22" customHeight="1" x14ac:dyDescent="0.35">
      <c r="B10" s="4" t="s">
        <v>102</v>
      </c>
      <c r="C10" s="23">
        <f>Assumptions!C28</f>
        <v>500000</v>
      </c>
      <c r="D10" s="23">
        <f>C10*(1+Assumptions!C29)</f>
        <v>525000</v>
      </c>
      <c r="E10" s="23">
        <f>D10*(1+Assumptions!C29)</f>
        <v>551250</v>
      </c>
      <c r="F10" s="23">
        <f>E10*(1+Assumptions!C29)</f>
        <v>578812.5</v>
      </c>
      <c r="G10" s="23">
        <f>F10*(1+Assumptions!C29)</f>
        <v>607753.125</v>
      </c>
      <c r="H10" s="24">
        <f>SUM(C10,D10,E10,F10,G10)</f>
        <v>2762815.625</v>
      </c>
    </row>
    <row r="11" spans="1:8" ht="22" customHeight="1" x14ac:dyDescent="0.35">
      <c r="B11" s="3" t="s">
        <v>103</v>
      </c>
      <c r="C11" s="22">
        <f>C8-C10</f>
        <v>1150000</v>
      </c>
      <c r="D11" s="22">
        <f>D8-D10</f>
        <v>1455000</v>
      </c>
      <c r="E11" s="22">
        <f>E8-E10</f>
        <v>1785150</v>
      </c>
      <c r="F11" s="22">
        <f>F8-F10</f>
        <v>2108047.5</v>
      </c>
      <c r="G11" s="22">
        <f>G8-G10</f>
        <v>2401530.0750000007</v>
      </c>
      <c r="H11" s="22">
        <f>SUM(C11,D11,E11,F11,G11)</f>
        <v>8899727.5750000011</v>
      </c>
    </row>
    <row r="12" spans="1:8" ht="22" customHeight="1" x14ac:dyDescent="0.35">
      <c r="B12" s="4" t="s">
        <v>104</v>
      </c>
      <c r="C12" s="25">
        <f t="shared" ref="C12:H12" si="1">IF(C6=0,0,C11/C6)</f>
        <v>0.38333333333333336</v>
      </c>
      <c r="D12" s="25">
        <f t="shared" si="1"/>
        <v>0.40416666666666667</v>
      </c>
      <c r="E12" s="25">
        <f t="shared" si="1"/>
        <v>0.4202330508474576</v>
      </c>
      <c r="F12" s="25">
        <f t="shared" si="1"/>
        <v>0.43151713338246134</v>
      </c>
      <c r="G12" s="25">
        <f t="shared" si="1"/>
        <v>0.43892231254605751</v>
      </c>
      <c r="H12" s="26">
        <f t="shared" si="1"/>
        <v>0.4197069268948132</v>
      </c>
    </row>
    <row r="13" spans="1:8" ht="22" customHeight="1" x14ac:dyDescent="0.35">
      <c r="B13" s="4" t="s">
        <v>105</v>
      </c>
      <c r="C13" s="23">
        <f>Assumptions!C30</f>
        <v>900000</v>
      </c>
      <c r="D13" s="23">
        <f>Assumptions!C30</f>
        <v>900000</v>
      </c>
      <c r="E13" s="23">
        <f>Assumptions!C30</f>
        <v>900000</v>
      </c>
      <c r="F13" s="23">
        <f>Assumptions!C30</f>
        <v>900000</v>
      </c>
      <c r="G13" s="23">
        <f>Assumptions!C30</f>
        <v>900000</v>
      </c>
      <c r="H13" s="24">
        <f t="shared" ref="H13:H18" si="2">SUM(C13,D13,E13,F13,G13)</f>
        <v>4500000</v>
      </c>
    </row>
    <row r="14" spans="1:8" ht="22" customHeight="1" x14ac:dyDescent="0.35">
      <c r="B14" s="3" t="s">
        <v>106</v>
      </c>
      <c r="C14" s="22">
        <f>C11-C13</f>
        <v>250000</v>
      </c>
      <c r="D14" s="22">
        <f>D11-D13</f>
        <v>555000</v>
      </c>
      <c r="E14" s="22">
        <f>E11-E13</f>
        <v>885150</v>
      </c>
      <c r="F14" s="22">
        <f>F11-F13</f>
        <v>1208047.5</v>
      </c>
      <c r="G14" s="22">
        <f>G11-G13</f>
        <v>1501530.0750000007</v>
      </c>
      <c r="H14" s="22">
        <f t="shared" si="2"/>
        <v>4399727.5750000011</v>
      </c>
    </row>
    <row r="15" spans="1:8" ht="22" customHeight="1" x14ac:dyDescent="0.35">
      <c r="B15" s="4" t="s">
        <v>107</v>
      </c>
      <c r="C15" s="23">
        <f>Assumptions!C31</f>
        <v>200000</v>
      </c>
      <c r="D15" s="23">
        <f>Assumptions!C31</f>
        <v>200000</v>
      </c>
      <c r="E15" s="23">
        <f>Assumptions!C31</f>
        <v>200000</v>
      </c>
      <c r="F15" s="23">
        <f>Assumptions!C31</f>
        <v>200000</v>
      </c>
      <c r="G15" s="23">
        <f>Assumptions!C31</f>
        <v>200000</v>
      </c>
      <c r="H15" s="24">
        <f t="shared" si="2"/>
        <v>1000000</v>
      </c>
    </row>
    <row r="16" spans="1:8" ht="22" customHeight="1" x14ac:dyDescent="0.35">
      <c r="B16" s="3" t="s">
        <v>108</v>
      </c>
      <c r="C16" s="22">
        <f>C14-C15</f>
        <v>50000</v>
      </c>
      <c r="D16" s="22">
        <f>D14-D15</f>
        <v>355000</v>
      </c>
      <c r="E16" s="22">
        <f>E14-E15</f>
        <v>685150</v>
      </c>
      <c r="F16" s="22">
        <f>F14-F15</f>
        <v>1008047.5</v>
      </c>
      <c r="G16" s="22">
        <f>G14-G15</f>
        <v>1301530.0750000007</v>
      </c>
      <c r="H16" s="22">
        <f t="shared" si="2"/>
        <v>3399727.5750000007</v>
      </c>
    </row>
    <row r="17" spans="2:8" ht="22" customHeight="1" x14ac:dyDescent="0.35">
      <c r="B17" s="4" t="s">
        <v>109</v>
      </c>
      <c r="C17" s="23">
        <f>MAX(0,C16*Assumptions!C32)</f>
        <v>12500</v>
      </c>
      <c r="D17" s="23">
        <f>MAX(0,D16*Assumptions!C32)</f>
        <v>88750</v>
      </c>
      <c r="E17" s="23">
        <f>MAX(0,E16*Assumptions!C32)</f>
        <v>171287.5</v>
      </c>
      <c r="F17" s="23">
        <f>MAX(0,F16*Assumptions!C32)</f>
        <v>252011.875</v>
      </c>
      <c r="G17" s="23">
        <f>MAX(0,G16*Assumptions!C32)</f>
        <v>325382.51875000016</v>
      </c>
      <c r="H17" s="24">
        <f t="shared" si="2"/>
        <v>849931.89375000016</v>
      </c>
    </row>
    <row r="18" spans="2:8" ht="22" customHeight="1" x14ac:dyDescent="0.35">
      <c r="B18" s="3" t="s">
        <v>110</v>
      </c>
      <c r="C18" s="22">
        <f>C16-C17</f>
        <v>37500</v>
      </c>
      <c r="D18" s="22">
        <f>D16-D17</f>
        <v>266250</v>
      </c>
      <c r="E18" s="22">
        <f>E16-E17</f>
        <v>513862.5</v>
      </c>
      <c r="F18" s="22">
        <f>F16-F17</f>
        <v>756035.625</v>
      </c>
      <c r="G18" s="22">
        <f>G16-G17</f>
        <v>976147.55625000049</v>
      </c>
      <c r="H18" s="22">
        <f t="shared" si="2"/>
        <v>2549795.6812500004</v>
      </c>
    </row>
    <row r="19" spans="2:8" ht="22" customHeight="1" x14ac:dyDescent="0.35">
      <c r="B19" s="4" t="s">
        <v>111</v>
      </c>
      <c r="C19" s="25">
        <f t="shared" ref="C19:H19" si="3">IF(C6=0,0,C18/C6)</f>
        <v>1.2500000000000001E-2</v>
      </c>
      <c r="D19" s="25">
        <f t="shared" si="3"/>
        <v>7.3958333333333334E-2</v>
      </c>
      <c r="E19" s="25">
        <f t="shared" si="3"/>
        <v>0.12096574858757062</v>
      </c>
      <c r="F19" s="25">
        <f t="shared" si="3"/>
        <v>0.15476042434291329</v>
      </c>
      <c r="G19" s="25">
        <f t="shared" si="3"/>
        <v>0.17840831861138898</v>
      </c>
      <c r="H19" s="26">
        <f t="shared" si="3"/>
        <v>0.12024715369864612</v>
      </c>
    </row>
  </sheetData>
  <mergeCells count="2">
    <mergeCell ref="B2:F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7A4F"/>
  </sheetPr>
  <dimension ref="A1:I22"/>
  <sheetViews>
    <sheetView showGridLines="0" workbookViewId="0"/>
  </sheetViews>
  <sheetFormatPr defaultRowHeight="14.5" x14ac:dyDescent="0.35"/>
  <cols>
    <col min="1" max="1" width="2" customWidth="1"/>
    <col min="2" max="2" width="32" customWidth="1"/>
    <col min="3" max="9" width="16" customWidth="1"/>
  </cols>
  <sheetData>
    <row r="1" spans="1:9" ht="8" customHeight="1" x14ac:dyDescent="0.35">
      <c r="A1" s="1"/>
      <c r="B1" s="1"/>
      <c r="C1" s="1"/>
      <c r="D1" s="1"/>
      <c r="E1" s="1"/>
      <c r="F1" s="1"/>
    </row>
    <row r="2" spans="1:9" ht="30" customHeight="1" x14ac:dyDescent="0.35">
      <c r="A2" s="1"/>
      <c r="B2" s="63" t="s">
        <v>112</v>
      </c>
      <c r="C2" s="50"/>
      <c r="D2" s="50"/>
      <c r="E2" s="50"/>
      <c r="F2" s="50"/>
    </row>
    <row r="3" spans="1:9" ht="8" customHeight="1" x14ac:dyDescent="0.35">
      <c r="A3" s="1"/>
      <c r="B3" s="64" t="s">
        <v>113</v>
      </c>
      <c r="C3" s="50"/>
      <c r="D3" s="50"/>
      <c r="E3" s="50"/>
      <c r="F3" s="50"/>
    </row>
    <row r="5" spans="1:9" ht="22" customHeight="1" x14ac:dyDescent="0.35">
      <c r="B5" s="12" t="s">
        <v>91</v>
      </c>
      <c r="C5" s="5" t="s">
        <v>114</v>
      </c>
      <c r="D5" s="5" t="s">
        <v>92</v>
      </c>
      <c r="E5" s="5" t="s">
        <v>93</v>
      </c>
      <c r="F5" s="5" t="s">
        <v>94</v>
      </c>
      <c r="G5" s="5" t="s">
        <v>95</v>
      </c>
      <c r="H5" s="5" t="s">
        <v>96</v>
      </c>
      <c r="I5" s="5" t="s">
        <v>97</v>
      </c>
    </row>
    <row r="6" spans="1:9" ht="20" customHeight="1" x14ac:dyDescent="0.35">
      <c r="B6" s="62" t="s">
        <v>115</v>
      </c>
      <c r="C6" s="50"/>
      <c r="D6" s="50"/>
      <c r="E6" s="50"/>
      <c r="F6" s="50"/>
      <c r="G6" s="50"/>
      <c r="H6" s="50"/>
      <c r="I6" s="50"/>
    </row>
    <row r="7" spans="1:9" ht="22" customHeight="1" x14ac:dyDescent="0.35">
      <c r="B7" s="4" t="s">
        <v>116</v>
      </c>
      <c r="C7" s="23">
        <v>0</v>
      </c>
      <c r="D7" s="23">
        <f>'P&amp;L'!C18</f>
        <v>37500</v>
      </c>
      <c r="E7" s="23">
        <f>'P&amp;L'!D18</f>
        <v>266250</v>
      </c>
      <c r="F7" s="23">
        <f>'P&amp;L'!E18</f>
        <v>513862.5</v>
      </c>
      <c r="G7" s="23">
        <f>'P&amp;L'!F18</f>
        <v>756035.625</v>
      </c>
      <c r="H7" s="23">
        <f>'P&amp;L'!G18</f>
        <v>976147.55625000049</v>
      </c>
      <c r="I7" s="24">
        <f>SUM(D7,E7,F7,G7,H7)</f>
        <v>2549795.6812500004</v>
      </c>
    </row>
    <row r="8" spans="1:9" ht="22" customHeight="1" x14ac:dyDescent="0.35">
      <c r="B8" s="4" t="s">
        <v>117</v>
      </c>
      <c r="C8" s="23">
        <v>0</v>
      </c>
      <c r="D8" s="23">
        <f>'P&amp;L'!C13</f>
        <v>900000</v>
      </c>
      <c r="E8" s="23">
        <f>'P&amp;L'!D13</f>
        <v>900000</v>
      </c>
      <c r="F8" s="23">
        <f>'P&amp;L'!E13</f>
        <v>900000</v>
      </c>
      <c r="G8" s="23">
        <f>'P&amp;L'!F13</f>
        <v>900000</v>
      </c>
      <c r="H8" s="23">
        <f>'P&amp;L'!G13</f>
        <v>900000</v>
      </c>
      <c r="I8" s="24">
        <f>SUM(D8,E8,F8,G8,H8)</f>
        <v>4500000</v>
      </c>
    </row>
    <row r="9" spans="1:9" ht="22" customHeight="1" x14ac:dyDescent="0.35">
      <c r="B9" s="4" t="s">
        <v>118</v>
      </c>
      <c r="C9" s="23" t="s">
        <v>119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4">
        <f>SUM(D9,E9,F9,G9,H9)</f>
        <v>0</v>
      </c>
    </row>
    <row r="10" spans="1:9" ht="22" customHeight="1" x14ac:dyDescent="0.35">
      <c r="B10" s="3" t="s">
        <v>120</v>
      </c>
      <c r="C10" s="27" t="str">
        <f>C9</f>
        <v>-Assumptions!C13</v>
      </c>
      <c r="D10" s="22">
        <f>D7+D8</f>
        <v>937500</v>
      </c>
      <c r="E10" s="22">
        <f>E7+E8</f>
        <v>1166250</v>
      </c>
      <c r="F10" s="22">
        <f>F7+F8</f>
        <v>1413862.5</v>
      </c>
      <c r="G10" s="22">
        <f>G7+G8</f>
        <v>1656035.625</v>
      </c>
      <c r="H10" s="22">
        <f>H7+H8</f>
        <v>1876147.5562500004</v>
      </c>
      <c r="I10" s="22">
        <f>SUM(D10,E10,F10,G10,H10)</f>
        <v>7049795.6812500004</v>
      </c>
    </row>
    <row r="12" spans="1:9" ht="20" customHeight="1" x14ac:dyDescent="0.35">
      <c r="B12" s="62" t="s">
        <v>121</v>
      </c>
      <c r="C12" s="50"/>
      <c r="D12" s="50"/>
      <c r="E12" s="50"/>
      <c r="F12" s="50"/>
      <c r="G12" s="50"/>
      <c r="H12" s="50"/>
      <c r="I12" s="50"/>
    </row>
    <row r="13" spans="1:9" ht="22" customHeight="1" x14ac:dyDescent="0.35">
      <c r="B13" s="4" t="s">
        <v>122</v>
      </c>
      <c r="C13" s="23">
        <f>-Assumptions!C11</f>
        <v>-5000000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4">
        <f>SUM(D13,E13,F13,G13,H13)</f>
        <v>0</v>
      </c>
    </row>
    <row r="14" spans="1:9" ht="22" customHeight="1" x14ac:dyDescent="0.35">
      <c r="B14" s="4" t="s">
        <v>123</v>
      </c>
      <c r="C14" s="23">
        <v>0</v>
      </c>
      <c r="D14" s="23">
        <f>-Assumptions!C12</f>
        <v>-500000</v>
      </c>
      <c r="E14" s="23">
        <f>0</f>
        <v>0</v>
      </c>
      <c r="F14" s="23">
        <f>0</f>
        <v>0</v>
      </c>
      <c r="G14" s="23">
        <f>0</f>
        <v>0</v>
      </c>
      <c r="H14" s="23">
        <f>0</f>
        <v>0</v>
      </c>
      <c r="I14" s="24">
        <f>SUM(D14,E14,F14,G14,H14)</f>
        <v>-500000</v>
      </c>
    </row>
    <row r="15" spans="1:9" ht="22" customHeight="1" x14ac:dyDescent="0.35">
      <c r="B15" s="4" t="s">
        <v>124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f>+Assumptions!C14</f>
        <v>1000000</v>
      </c>
      <c r="I15" s="24">
        <f>SUM(D15,E15,F15,G15,H15)</f>
        <v>1000000</v>
      </c>
    </row>
    <row r="16" spans="1:9" ht="22" customHeight="1" x14ac:dyDescent="0.35">
      <c r="B16" s="3" t="s">
        <v>125</v>
      </c>
      <c r="C16" s="27">
        <f t="shared" ref="C16:H16" si="0">C13+C14+C15</f>
        <v>-5000000</v>
      </c>
      <c r="D16" s="22">
        <f t="shared" si="0"/>
        <v>-500000</v>
      </c>
      <c r="E16" s="22">
        <f t="shared" si="0"/>
        <v>0</v>
      </c>
      <c r="F16" s="22">
        <f t="shared" si="0"/>
        <v>0</v>
      </c>
      <c r="G16" s="22">
        <f t="shared" si="0"/>
        <v>0</v>
      </c>
      <c r="H16" s="22">
        <f t="shared" si="0"/>
        <v>1000000</v>
      </c>
      <c r="I16" s="22">
        <f>SUM(D16,E16,F16,G16,H16)</f>
        <v>500000</v>
      </c>
    </row>
    <row r="18" spans="2:9" ht="20" customHeight="1" x14ac:dyDescent="0.35">
      <c r="B18" s="62" t="s">
        <v>126</v>
      </c>
      <c r="C18" s="50"/>
      <c r="D18" s="50"/>
      <c r="E18" s="50"/>
      <c r="F18" s="50"/>
      <c r="G18" s="50"/>
      <c r="H18" s="50"/>
      <c r="I18" s="50"/>
    </row>
    <row r="19" spans="2:9" ht="22" customHeight="1" x14ac:dyDescent="0.35">
      <c r="B19" s="3" t="s">
        <v>127</v>
      </c>
      <c r="C19" s="27" t="e">
        <f t="shared" ref="C19:H19" si="1">C10+C16</f>
        <v>#VALUE!</v>
      </c>
      <c r="D19" s="22">
        <f t="shared" si="1"/>
        <v>437500</v>
      </c>
      <c r="E19" s="22">
        <f t="shared" si="1"/>
        <v>1166250</v>
      </c>
      <c r="F19" s="22">
        <f t="shared" si="1"/>
        <v>1413862.5</v>
      </c>
      <c r="G19" s="22">
        <f t="shared" si="1"/>
        <v>1656035.625</v>
      </c>
      <c r="H19" s="22">
        <f t="shared" si="1"/>
        <v>2876147.5562500004</v>
      </c>
      <c r="I19" s="22">
        <f>SUM(D19,E19,F19,G19,H19)</f>
        <v>7549795.6812500004</v>
      </c>
    </row>
    <row r="21" spans="2:9" ht="20" customHeight="1" x14ac:dyDescent="0.35">
      <c r="B21" s="62" t="s">
        <v>128</v>
      </c>
      <c r="C21" s="50"/>
      <c r="D21" s="50"/>
      <c r="E21" s="50"/>
      <c r="F21" s="50"/>
      <c r="G21" s="50"/>
      <c r="H21" s="50"/>
      <c r="I21" s="50"/>
    </row>
    <row r="22" spans="2:9" ht="22" customHeight="1" x14ac:dyDescent="0.35">
      <c r="B22" s="4" t="s">
        <v>129</v>
      </c>
      <c r="C22" s="23" t="e">
        <f>C19</f>
        <v>#VALUE!</v>
      </c>
      <c r="D22" s="23" t="e">
        <f>C22+D19</f>
        <v>#VALUE!</v>
      </c>
      <c r="E22" s="23" t="e">
        <f>D22+E19</f>
        <v>#VALUE!</v>
      </c>
      <c r="F22" s="23" t="e">
        <f>E22+F19</f>
        <v>#VALUE!</v>
      </c>
      <c r="G22" s="23" t="e">
        <f>F22+G19</f>
        <v>#VALUE!</v>
      </c>
      <c r="H22" s="23" t="e">
        <f>G22+H19</f>
        <v>#VALUE!</v>
      </c>
      <c r="I22" s="24" t="e">
        <f>SUM(D22,E22,F22,G22,H22)</f>
        <v>#VALUE!</v>
      </c>
    </row>
  </sheetData>
  <mergeCells count="6">
    <mergeCell ref="B18:I18"/>
    <mergeCell ref="B12:I12"/>
    <mergeCell ref="B21:I21"/>
    <mergeCell ref="B2:F2"/>
    <mergeCell ref="B6:I6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3A6B"/>
  </sheetPr>
  <dimension ref="A1:F35"/>
  <sheetViews>
    <sheetView showGridLines="0" workbookViewId="0"/>
  </sheetViews>
  <sheetFormatPr defaultRowHeight="14.5" x14ac:dyDescent="0.35"/>
  <cols>
    <col min="1" max="1" width="2" customWidth="1"/>
    <col min="2" max="2" width="36" customWidth="1"/>
    <col min="3" max="4" width="22" customWidth="1"/>
    <col min="5" max="5" width="20" customWidth="1"/>
  </cols>
  <sheetData>
    <row r="1" spans="1:6" ht="8" customHeight="1" x14ac:dyDescent="0.35">
      <c r="A1" s="1"/>
      <c r="B1" s="1"/>
      <c r="C1" s="1"/>
      <c r="D1" s="1"/>
      <c r="E1" s="1"/>
      <c r="F1" s="1"/>
    </row>
    <row r="2" spans="1:6" ht="30" customHeight="1" x14ac:dyDescent="0.35">
      <c r="A2" s="1"/>
      <c r="B2" s="63" t="s">
        <v>130</v>
      </c>
      <c r="C2" s="50"/>
      <c r="D2" s="50"/>
      <c r="E2" s="50"/>
      <c r="F2" s="50"/>
    </row>
    <row r="3" spans="1:6" ht="8" customHeight="1" x14ac:dyDescent="0.35">
      <c r="A3" s="1"/>
      <c r="B3" s="64" t="s">
        <v>131</v>
      </c>
      <c r="C3" s="50"/>
      <c r="D3" s="50"/>
      <c r="E3" s="50"/>
      <c r="F3" s="50"/>
    </row>
    <row r="5" spans="1:6" ht="20" customHeight="1" x14ac:dyDescent="0.35">
      <c r="B5" s="62" t="s">
        <v>132</v>
      </c>
      <c r="C5" s="50"/>
      <c r="D5" s="50"/>
      <c r="E5" s="50"/>
    </row>
    <row r="6" spans="1:6" ht="20" customHeight="1" x14ac:dyDescent="0.35">
      <c r="B6" s="5" t="s">
        <v>133</v>
      </c>
      <c r="C6" s="5" t="s">
        <v>134</v>
      </c>
      <c r="D6" s="5" t="s">
        <v>135</v>
      </c>
      <c r="E6" s="5" t="s">
        <v>136</v>
      </c>
    </row>
    <row r="7" spans="1:6" ht="22" customHeight="1" x14ac:dyDescent="0.35">
      <c r="B7" s="28" t="s">
        <v>114</v>
      </c>
      <c r="C7" s="29" t="e">
        <f>'Cash Flow'!C19</f>
        <v>#VALUE!</v>
      </c>
      <c r="D7" s="30">
        <f>1</f>
        <v>1</v>
      </c>
      <c r="E7" s="23" t="e">
        <f t="shared" ref="E7:E12" si="0">C7*D7</f>
        <v>#VALUE!</v>
      </c>
    </row>
    <row r="8" spans="1:6" ht="22" customHeight="1" x14ac:dyDescent="0.35">
      <c r="B8" s="28" t="s">
        <v>92</v>
      </c>
      <c r="C8" s="29">
        <f>'Cash Flow'!D19</f>
        <v>437500</v>
      </c>
      <c r="D8" s="30">
        <f>1/(1+Assumptions!C16)^1</f>
        <v>0.89285714285714279</v>
      </c>
      <c r="E8" s="23">
        <f t="shared" si="0"/>
        <v>390625</v>
      </c>
    </row>
    <row r="9" spans="1:6" ht="22" customHeight="1" x14ac:dyDescent="0.35">
      <c r="B9" s="28" t="s">
        <v>93</v>
      </c>
      <c r="C9" s="29">
        <f>'Cash Flow'!E19</f>
        <v>1166250</v>
      </c>
      <c r="D9" s="30">
        <f>1/(1+Assumptions!C16)^2</f>
        <v>0.79719387755102034</v>
      </c>
      <c r="E9" s="23">
        <f t="shared" si="0"/>
        <v>929727.35969387752</v>
      </c>
    </row>
    <row r="10" spans="1:6" ht="22" customHeight="1" x14ac:dyDescent="0.35">
      <c r="B10" s="28" t="s">
        <v>94</v>
      </c>
      <c r="C10" s="29">
        <f>'Cash Flow'!F19</f>
        <v>1413862.5</v>
      </c>
      <c r="D10" s="30">
        <f>1/(1+Assumptions!C16)^3</f>
        <v>0.71178024781341087</v>
      </c>
      <c r="E10" s="23">
        <f t="shared" si="0"/>
        <v>1006359.4006240886</v>
      </c>
    </row>
    <row r="11" spans="1:6" ht="22" customHeight="1" x14ac:dyDescent="0.35">
      <c r="B11" s="28" t="s">
        <v>95</v>
      </c>
      <c r="C11" s="29">
        <f>'Cash Flow'!G19</f>
        <v>1656035.625</v>
      </c>
      <c r="D11" s="30">
        <f>1/(1+Assumptions!C16)^4</f>
        <v>0.63551807840483121</v>
      </c>
      <c r="E11" s="23">
        <f t="shared" si="0"/>
        <v>1052440.5781699438</v>
      </c>
    </row>
    <row r="12" spans="1:6" ht="22" customHeight="1" x14ac:dyDescent="0.35">
      <c r="B12" s="28" t="s">
        <v>96</v>
      </c>
      <c r="C12" s="29">
        <f>'Cash Flow'!H19</f>
        <v>2876147.5562500004</v>
      </c>
      <c r="D12" s="30">
        <f>1/(1+Assumptions!C16)^5</f>
        <v>0.56742685571859919</v>
      </c>
      <c r="E12" s="23">
        <f t="shared" si="0"/>
        <v>1632003.3644256706</v>
      </c>
    </row>
    <row r="14" spans="1:6" ht="20" customHeight="1" x14ac:dyDescent="0.35">
      <c r="B14" s="62" t="s">
        <v>137</v>
      </c>
      <c r="C14" s="50"/>
      <c r="D14" s="50"/>
      <c r="E14" s="50"/>
    </row>
    <row r="15" spans="1:6" ht="26" customHeight="1" x14ac:dyDescent="0.35">
      <c r="B15" s="3" t="s">
        <v>138</v>
      </c>
      <c r="C15" s="31" t="e">
        <f>SUM(E7:E13)</f>
        <v>#VALUE!</v>
      </c>
      <c r="D15" s="32" t="s">
        <v>139</v>
      </c>
      <c r="E15" s="33" t="e">
        <f>IF(C15&gt;0,"✅ POSITIVE","❌ NEGATIVE")</f>
        <v>#VALUE!</v>
      </c>
    </row>
    <row r="16" spans="1:6" ht="26" customHeight="1" x14ac:dyDescent="0.35">
      <c r="B16" s="3" t="s">
        <v>140</v>
      </c>
      <c r="C16" s="34" t="str">
        <f>IFERROR(IRR(C7:C13),"N/A")</f>
        <v>N/A</v>
      </c>
      <c r="D16" s="32" t="s">
        <v>141</v>
      </c>
      <c r="E16" s="33" t="str">
        <f>IFERROR(IF(C16&gt;Assumptions!C16,"✅ ABOVE HURDLE","❌ BELOW HURDLE"),"N/A")</f>
        <v>✅ ABOVE HURDLE</v>
      </c>
    </row>
    <row r="17" spans="2:5" ht="26" customHeight="1" x14ac:dyDescent="0.35">
      <c r="B17" s="3" t="s">
        <v>142</v>
      </c>
      <c r="C17" s="34" t="str">
        <f>IFERROR(MIRR(C7:C13,Assumptions!C16,Assumptions!C16),"N/A")</f>
        <v>N/A</v>
      </c>
      <c r="D17" s="32" t="s">
        <v>143</v>
      </c>
      <c r="E17" s="33" t="str">
        <f>IFERROR(IF(C17&gt;Assumptions!C16,"✅ ABOVE HURDLE","❌ BELOW HURDLE"),"N/A")</f>
        <v>✅ ABOVE HURDLE</v>
      </c>
    </row>
    <row r="18" spans="2:5" ht="26" customHeight="1" x14ac:dyDescent="0.35">
      <c r="B18" s="3" t="s">
        <v>144</v>
      </c>
      <c r="C18" s="35"/>
      <c r="D18" s="32" t="s">
        <v>37</v>
      </c>
      <c r="E18" s="33" t="str">
        <f>IFERROR(IF(C18&lt;Assumptions!C17,"✅ WITHIN LIFE","❌ EXCEEDS LIFE"),"Check CF")</f>
        <v>✅ WITHIN LIFE</v>
      </c>
    </row>
    <row r="19" spans="2:5" ht="26" customHeight="1" x14ac:dyDescent="0.35">
      <c r="B19" s="3" t="s">
        <v>145</v>
      </c>
      <c r="C19" s="35"/>
      <c r="D19" s="32" t="s">
        <v>39</v>
      </c>
      <c r="E19" s="33" t="str">
        <f>IFERROR(IF(C19&lt;Assumptions!C17,"✅ WITHIN LIFE","❌ EXCEEDS LIFE"),"Check CF")</f>
        <v>✅ WITHIN LIFE</v>
      </c>
    </row>
    <row r="20" spans="2:5" ht="26" customHeight="1" x14ac:dyDescent="0.35">
      <c r="B20" s="3" t="s">
        <v>146</v>
      </c>
      <c r="C20" s="36" t="str">
        <f>IFERROR((C15+ABS('Cash Flow'!C13))/ABS('Cash Flow'!C13),"N/A")</f>
        <v>N/A</v>
      </c>
      <c r="D20" s="32" t="s">
        <v>147</v>
      </c>
      <c r="E20" s="33" t="str">
        <f>IFERROR(IF(C20&gt;1,"✅ ABOVE 1.0x","❌ BELOW 1.0x"),"N/A")</f>
        <v>✅ ABOVE 1.0x</v>
      </c>
    </row>
    <row r="32" spans="2:5" ht="1" customHeight="1" x14ac:dyDescent="0.35">
      <c r="C32" s="37" t="e">
        <f>C15</f>
        <v>#VALUE!</v>
      </c>
      <c r="E32" t="e">
        <f>E15</f>
        <v>#VALUE!</v>
      </c>
    </row>
    <row r="33" spans="3:5" ht="1" customHeight="1" x14ac:dyDescent="0.35">
      <c r="C33" s="38" t="str">
        <f>C16</f>
        <v>N/A</v>
      </c>
      <c r="E33" t="str">
        <f>E16</f>
        <v>✅ ABOVE HURDLE</v>
      </c>
    </row>
    <row r="34" spans="3:5" ht="1" customHeight="1" x14ac:dyDescent="0.35">
      <c r="C34" s="39">
        <f>C18</f>
        <v>0</v>
      </c>
      <c r="E34" t="str">
        <f>E18</f>
        <v>✅ WITHIN LIFE</v>
      </c>
    </row>
    <row r="35" spans="3:5" ht="1" customHeight="1" x14ac:dyDescent="0.35">
      <c r="C35" s="39">
        <f>C19</f>
        <v>0</v>
      </c>
      <c r="E35" t="str">
        <f>E19</f>
        <v>✅ WITHIN LIFE</v>
      </c>
    </row>
  </sheetData>
  <mergeCells count="4">
    <mergeCell ref="B2:F2"/>
    <mergeCell ref="B14:E14"/>
    <mergeCell ref="B5:E5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3A6B"/>
  </sheetPr>
  <dimension ref="A1:F20"/>
  <sheetViews>
    <sheetView showGridLines="0" workbookViewId="0"/>
  </sheetViews>
  <sheetFormatPr defaultRowHeight="14.5" x14ac:dyDescent="0.35"/>
  <cols>
    <col min="1" max="1" width="2" customWidth="1"/>
    <col min="2" max="2" width="36" customWidth="1"/>
    <col min="3" max="4" width="22" customWidth="1"/>
    <col min="5" max="5" width="20" customWidth="1"/>
  </cols>
  <sheetData>
    <row r="1" spans="1:6" ht="8" customHeight="1" x14ac:dyDescent="0.35">
      <c r="A1" s="1"/>
      <c r="B1" s="1"/>
      <c r="C1" s="1"/>
      <c r="D1" s="1"/>
      <c r="E1" s="1"/>
      <c r="F1" s="1"/>
    </row>
    <row r="2" spans="1:6" ht="30" customHeight="1" x14ac:dyDescent="0.35">
      <c r="A2" s="1"/>
      <c r="B2" s="63" t="s">
        <v>148</v>
      </c>
      <c r="C2" s="50"/>
      <c r="D2" s="50"/>
      <c r="E2" s="50"/>
      <c r="F2" s="50"/>
    </row>
    <row r="3" spans="1:6" ht="8" customHeight="1" x14ac:dyDescent="0.35">
      <c r="A3" s="1"/>
      <c r="B3" s="64" t="s">
        <v>149</v>
      </c>
      <c r="C3" s="50"/>
      <c r="D3" s="50"/>
      <c r="E3" s="50"/>
      <c r="F3" s="50"/>
    </row>
    <row r="5" spans="1:6" ht="20" customHeight="1" x14ac:dyDescent="0.35">
      <c r="B5" s="62" t="s">
        <v>150</v>
      </c>
      <c r="C5" s="50"/>
      <c r="D5" s="50"/>
      <c r="E5" s="50"/>
    </row>
    <row r="6" spans="1:6" ht="22" customHeight="1" x14ac:dyDescent="0.35">
      <c r="B6" s="13" t="s">
        <v>151</v>
      </c>
      <c r="C6" s="23">
        <f>'P&amp;L'!H6</f>
        <v>21204624</v>
      </c>
      <c r="D6" s="66" t="s">
        <v>152</v>
      </c>
      <c r="E6" s="50"/>
    </row>
    <row r="7" spans="1:6" ht="22" customHeight="1" x14ac:dyDescent="0.35">
      <c r="B7" s="13" t="s">
        <v>153</v>
      </c>
      <c r="C7" s="23">
        <f>'Cash Flow'!I10</f>
        <v>7049795.6812500004</v>
      </c>
      <c r="D7" s="66" t="s">
        <v>154</v>
      </c>
      <c r="E7" s="50"/>
    </row>
    <row r="8" spans="1:6" ht="22" customHeight="1" x14ac:dyDescent="0.35">
      <c r="B8" s="13" t="s">
        <v>155</v>
      </c>
      <c r="C8" s="23">
        <f>'Cash Flow'!I19</f>
        <v>7549795.6812500004</v>
      </c>
      <c r="D8" s="66" t="s">
        <v>156</v>
      </c>
      <c r="E8" s="50"/>
    </row>
    <row r="9" spans="1:6" ht="22" customHeight="1" x14ac:dyDescent="0.35">
      <c r="B9" s="13" t="s">
        <v>157</v>
      </c>
      <c r="C9" s="23" t="e">
        <f>ABS('Cash Flow'!C13)+ABS('Cash Flow'!C9)+Assumptions!C12</f>
        <v>#VALUE!</v>
      </c>
      <c r="D9" s="66" t="s">
        <v>158</v>
      </c>
      <c r="E9" s="50"/>
    </row>
    <row r="11" spans="1:6" ht="20" customHeight="1" x14ac:dyDescent="0.35">
      <c r="B11" s="62" t="s">
        <v>159</v>
      </c>
      <c r="C11" s="50"/>
      <c r="D11" s="50"/>
      <c r="E11" s="2" t="s">
        <v>160</v>
      </c>
    </row>
    <row r="12" spans="1:6" ht="26" customHeight="1" x14ac:dyDescent="0.35">
      <c r="B12" s="3" t="s">
        <v>33</v>
      </c>
      <c r="C12" s="40" t="str">
        <f>IFERROR((C8-C9)/C9,"N/A")</f>
        <v>N/A</v>
      </c>
      <c r="D12" s="32" t="s">
        <v>41</v>
      </c>
      <c r="E12" s="33" t="str">
        <f>IFERROR(IF(C12&gt;=Assumptions!C16,"✅ PASS","❌ FAIL"),"N/A")</f>
        <v>✅ PASS</v>
      </c>
    </row>
    <row r="13" spans="1:6" ht="26" customHeight="1" x14ac:dyDescent="0.35">
      <c r="B13" s="3" t="s">
        <v>161</v>
      </c>
      <c r="C13" s="40" t="str">
        <f>IFERROR((1+C12)^(1/Assumptions!C17)-1,"N/A")</f>
        <v>N/A</v>
      </c>
      <c r="D13" s="32" t="s">
        <v>41</v>
      </c>
      <c r="E13" s="33" t="str">
        <f>IFERROR(IF(C13&gt;=Assumptions!C16,"✅ PASS","❌ FAIL"),"N/A")</f>
        <v>✅ PASS</v>
      </c>
    </row>
    <row r="14" spans="1:6" ht="26" customHeight="1" x14ac:dyDescent="0.35">
      <c r="B14" s="3" t="s">
        <v>162</v>
      </c>
      <c r="C14" s="41" t="str">
        <f>IFERROR(C7/C9,"N/A")</f>
        <v>N/A</v>
      </c>
      <c r="D14" s="32" t="s">
        <v>41</v>
      </c>
      <c r="E14" s="33" t="str">
        <f>IFERROR(IF(C14&gt;1,"✅ Cash Positive","❌ Cash Negative"),"N/A")</f>
        <v>✅ Cash Positive</v>
      </c>
    </row>
    <row r="15" spans="1:6" ht="26" customHeight="1" x14ac:dyDescent="0.35">
      <c r="B15" s="3" t="s">
        <v>163</v>
      </c>
      <c r="C15" s="41" t="str">
        <f>IFERROR((C8+C9)/C9,"N/A")</f>
        <v>N/A</v>
      </c>
      <c r="D15" s="32" t="s">
        <v>41</v>
      </c>
      <c r="E15" s="33" t="str">
        <f>IFERROR(IF(C15&gt;=1.5,"✅ Strong","⚠  Weak"),"N/A")</f>
        <v>✅ Strong</v>
      </c>
    </row>
    <row r="16" spans="1:6" ht="26" customHeight="1" x14ac:dyDescent="0.35">
      <c r="B16" s="3" t="s">
        <v>164</v>
      </c>
      <c r="C16" s="42" t="e">
        <f>'NPV &amp; IRR'!C15</f>
        <v>#VALUE!</v>
      </c>
      <c r="D16" s="32" t="s">
        <v>41</v>
      </c>
      <c r="E16" s="33" t="e">
        <f>'NPV &amp; IRR'!E15</f>
        <v>#VALUE!</v>
      </c>
    </row>
    <row r="17" spans="2:5" ht="26" customHeight="1" x14ac:dyDescent="0.35">
      <c r="B17" s="3" t="s">
        <v>165</v>
      </c>
      <c r="C17" s="40" t="str">
        <f>'NPV &amp; IRR'!C16</f>
        <v>N/A</v>
      </c>
      <c r="D17" s="32" t="s">
        <v>41</v>
      </c>
      <c r="E17" s="33" t="str">
        <f>'NPV &amp; IRR'!E16</f>
        <v>✅ ABOVE HURDLE</v>
      </c>
    </row>
    <row r="19" spans="2:5" ht="10" customHeight="1" x14ac:dyDescent="0.35"/>
    <row r="20" spans="2:5" ht="40" customHeight="1" x14ac:dyDescent="0.35">
      <c r="B20" s="67" t="e">
        <f>IF(AND('NPV &amp; IRR'!C15&gt;0,'NPV &amp; IRR'!C16&gt;Assumptions!C16,C12&gt;=Assumptions!C16),"✅  INVEST — Project clears all hurdles (NPV&gt;0, IRR&gt;12%, ROI&gt;12%)","❌  DO NOT INVEST — Project does not meet all 12% hurdle criteria")</f>
        <v>#VALUE!</v>
      </c>
      <c r="C20" s="50"/>
      <c r="D20" s="50"/>
      <c r="E20" s="50"/>
    </row>
  </sheetData>
  <mergeCells count="9">
    <mergeCell ref="B20:E20"/>
    <mergeCell ref="D9:E9"/>
    <mergeCell ref="D8:E8"/>
    <mergeCell ref="D6:E6"/>
    <mergeCell ref="B11:D11"/>
    <mergeCell ref="D7:E7"/>
    <mergeCell ref="B2:F2"/>
    <mergeCell ref="B3:F3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7280"/>
  </sheetPr>
  <dimension ref="A1:I23"/>
  <sheetViews>
    <sheetView showGridLines="0" workbookViewId="0"/>
  </sheetViews>
  <sheetFormatPr defaultRowHeight="14.5" x14ac:dyDescent="0.35"/>
  <cols>
    <col min="1" max="1" width="2" customWidth="1"/>
    <col min="2" max="2" width="22" customWidth="1"/>
    <col min="3" max="9" width="16" customWidth="1"/>
  </cols>
  <sheetData>
    <row r="1" spans="1:9" ht="8" customHeight="1" x14ac:dyDescent="0.35">
      <c r="A1" s="1"/>
      <c r="B1" s="1"/>
      <c r="C1" s="1"/>
      <c r="D1" s="1"/>
      <c r="E1" s="1"/>
      <c r="F1" s="1"/>
    </row>
    <row r="2" spans="1:9" ht="30" customHeight="1" x14ac:dyDescent="0.35">
      <c r="A2" s="1"/>
      <c r="B2" s="63" t="s">
        <v>166</v>
      </c>
      <c r="C2" s="50"/>
      <c r="D2" s="50"/>
      <c r="E2" s="50"/>
      <c r="F2" s="50"/>
    </row>
    <row r="3" spans="1:9" ht="8" customHeight="1" x14ac:dyDescent="0.35">
      <c r="A3" s="1"/>
      <c r="B3" s="64" t="s">
        <v>167</v>
      </c>
      <c r="C3" s="50"/>
      <c r="D3" s="50"/>
      <c r="E3" s="50"/>
      <c r="F3" s="50"/>
    </row>
    <row r="5" spans="1:9" ht="20" customHeight="1" x14ac:dyDescent="0.35">
      <c r="B5" s="62" t="s">
        <v>168</v>
      </c>
      <c r="C5" s="50"/>
      <c r="D5" s="50"/>
      <c r="E5" s="50"/>
      <c r="F5" s="50"/>
      <c r="G5" s="50"/>
      <c r="H5" s="50"/>
      <c r="I5" s="50"/>
    </row>
    <row r="6" spans="1:9" ht="22" customHeight="1" x14ac:dyDescent="0.35">
      <c r="B6" s="2" t="s">
        <v>169</v>
      </c>
      <c r="C6" s="2" t="s">
        <v>170</v>
      </c>
      <c r="D6" s="2" t="s">
        <v>171</v>
      </c>
      <c r="E6" s="2" t="s">
        <v>172</v>
      </c>
      <c r="F6" s="2" t="s">
        <v>173</v>
      </c>
      <c r="G6" s="2" t="s">
        <v>174</v>
      </c>
      <c r="H6" s="2" t="s">
        <v>175</v>
      </c>
    </row>
    <row r="7" spans="1:9" ht="22" customHeight="1" x14ac:dyDescent="0.35">
      <c r="B7" s="2" t="s">
        <v>176</v>
      </c>
      <c r="C7" s="43" t="e">
        <f ca="1">_xludf.LET(R1,Assumptions!C20,GR2,0.1,GR3,Assumptions!C22,GR4,Assumptions!C23,GR5,Assumptions!C24,cogs,Assumptions!C27,opex1,Assumptions!C28,opgr,Assumptions!C29,da,Assumptions!C30,intx,Assumptions!C31,tax,Assumptions!C32,dr,0.08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D7" s="43" t="e">
        <f ca="1">_xludf.LET(R1,Assumptions!C20,GR2,0.15,GR3,Assumptions!C22,GR4,Assumptions!C23,GR5,Assumptions!C24,cogs,Assumptions!C27,opex1,Assumptions!C28,opgr,Assumptions!C29,da,Assumptions!C30,intx,Assumptions!C31,tax,Assumptions!C32,dr,0.08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E7" s="43" t="e">
        <f ca="1">_xludf.LET(R1,Assumptions!C20,GR2,0.2,GR3,Assumptions!C22,GR4,Assumptions!C23,GR5,Assumptions!C24,cogs,Assumptions!C27,opex1,Assumptions!C28,opgr,Assumptions!C29,da,Assumptions!C30,intx,Assumptions!C31,tax,Assumptions!C32,dr,0.08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F7" s="43" t="e">
        <f ca="1">_xludf.LET(R1,Assumptions!C20,GR2,0.25,GR3,Assumptions!C22,GR4,Assumptions!C23,GR5,Assumptions!C24,cogs,Assumptions!C27,opex1,Assumptions!C28,opgr,Assumptions!C29,da,Assumptions!C30,intx,Assumptions!C31,tax,Assumptions!C32,dr,0.08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G7" s="43" t="e">
        <f ca="1">_xludf.LET(R1,Assumptions!C20,GR2,0.3,GR3,Assumptions!C22,GR4,Assumptions!C23,GR5,Assumptions!C24,cogs,Assumptions!C27,opex1,Assumptions!C28,opgr,Assumptions!C29,da,Assumptions!C30,intx,Assumptions!C31,tax,Assumptions!C32,dr,0.08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H7" s="43" t="e">
        <f ca="1">_xludf.LET(R1,Assumptions!C20,GR2,0.35,GR3,Assumptions!C22,GR4,Assumptions!C23,GR5,Assumptions!C24,cogs,Assumptions!C27,opex1,Assumptions!C28,opgr,Assumptions!C29,da,Assumptions!C30,intx,Assumptions!C31,tax,Assumptions!C32,dr,0.08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</row>
    <row r="8" spans="1:9" ht="22" customHeight="1" x14ac:dyDescent="0.35">
      <c r="B8" s="2" t="s">
        <v>170</v>
      </c>
      <c r="C8" s="43" t="e">
        <f ca="1">_xludf.LET(R1,Assumptions!C20,GR2,0.1,GR3,Assumptions!C22,GR4,Assumptions!C23,GR5,Assumptions!C24,cogs,Assumptions!C27,opex1,Assumptions!C28,opgr,Assumptions!C29,da,Assumptions!C30,intx,Assumptions!C31,tax,Assumptions!C32,dr,0.1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D8" s="43" t="e">
        <f ca="1">_xludf.LET(R1,Assumptions!C20,GR2,0.15,GR3,Assumptions!C22,GR4,Assumptions!C23,GR5,Assumptions!C24,cogs,Assumptions!C27,opex1,Assumptions!C28,opgr,Assumptions!C29,da,Assumptions!C30,intx,Assumptions!C31,tax,Assumptions!C32,dr,0.1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E8" s="43" t="e">
        <f ca="1">_xludf.LET(R1,Assumptions!C20,GR2,0.2,GR3,Assumptions!C22,GR4,Assumptions!C23,GR5,Assumptions!C24,cogs,Assumptions!C27,opex1,Assumptions!C28,opgr,Assumptions!C29,da,Assumptions!C30,intx,Assumptions!C31,tax,Assumptions!C32,dr,0.1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F8" s="43" t="e">
        <f ca="1">_xludf.LET(R1,Assumptions!C20,GR2,0.25,GR3,Assumptions!C22,GR4,Assumptions!C23,GR5,Assumptions!C24,cogs,Assumptions!C27,opex1,Assumptions!C28,opgr,Assumptions!C29,da,Assumptions!C30,intx,Assumptions!C31,tax,Assumptions!C32,dr,0.1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G8" s="43" t="e">
        <f ca="1">_xludf.LET(R1,Assumptions!C20,GR2,0.3,GR3,Assumptions!C22,GR4,Assumptions!C23,GR5,Assumptions!C24,cogs,Assumptions!C27,opex1,Assumptions!C28,opgr,Assumptions!C29,da,Assumptions!C30,intx,Assumptions!C31,tax,Assumptions!C32,dr,0.1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H8" s="43" t="e">
        <f ca="1">_xludf.LET(R1,Assumptions!C20,GR2,0.35,GR3,Assumptions!C22,GR4,Assumptions!C23,GR5,Assumptions!C24,cogs,Assumptions!C27,opex1,Assumptions!C28,opgr,Assumptions!C29,da,Assumptions!C30,intx,Assumptions!C31,tax,Assumptions!C32,dr,0.1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</row>
    <row r="9" spans="1:9" ht="22" customHeight="1" x14ac:dyDescent="0.35">
      <c r="B9" s="44" t="s">
        <v>177</v>
      </c>
      <c r="C9" s="43" t="e">
        <f ca="1">_xludf.LET(R1,Assumptions!C20,GR2,0.1,GR3,Assumptions!C22,GR4,Assumptions!C23,GR5,Assumptions!C24,cogs,Assumptions!C27,opex1,Assumptions!C28,opgr,Assumptions!C29,da,Assumptions!C30,intx,Assumptions!C31,tax,Assumptions!C32,dr,0.12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D9" s="43" t="e">
        <f ca="1">_xludf.LET(R1,Assumptions!C20,GR2,0.15,GR3,Assumptions!C22,GR4,Assumptions!C23,GR5,Assumptions!C24,cogs,Assumptions!C27,opex1,Assumptions!C28,opgr,Assumptions!C29,da,Assumptions!C30,intx,Assumptions!C31,tax,Assumptions!C32,dr,0.12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E9" s="43" t="e">
        <f ca="1">_xludf.LET(R1,Assumptions!C20,GR2,0.2,GR3,Assumptions!C22,GR4,Assumptions!C23,GR5,Assumptions!C24,cogs,Assumptions!C27,opex1,Assumptions!C28,opgr,Assumptions!C29,da,Assumptions!C30,intx,Assumptions!C31,tax,Assumptions!C32,dr,0.12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F9" s="43" t="e">
        <f ca="1">_xludf.LET(R1,Assumptions!C20,GR2,0.25,GR3,Assumptions!C22,GR4,Assumptions!C23,GR5,Assumptions!C24,cogs,Assumptions!C27,opex1,Assumptions!C28,opgr,Assumptions!C29,da,Assumptions!C30,intx,Assumptions!C31,tax,Assumptions!C32,dr,0.12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G9" s="43" t="e">
        <f ca="1">_xludf.LET(R1,Assumptions!C20,GR2,0.3,GR3,Assumptions!C22,GR4,Assumptions!C23,GR5,Assumptions!C24,cogs,Assumptions!C27,opex1,Assumptions!C28,opgr,Assumptions!C29,da,Assumptions!C30,intx,Assumptions!C31,tax,Assumptions!C32,dr,0.12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H9" s="43" t="e">
        <f ca="1">_xludf.LET(R1,Assumptions!C20,GR2,0.35,GR3,Assumptions!C22,GR4,Assumptions!C23,GR5,Assumptions!C24,cogs,Assumptions!C27,opex1,Assumptions!C28,opgr,Assumptions!C29,da,Assumptions!C30,intx,Assumptions!C31,tax,Assumptions!C32,dr,0.12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</row>
    <row r="10" spans="1:9" ht="22" customHeight="1" x14ac:dyDescent="0.35">
      <c r="B10" s="2" t="s">
        <v>178</v>
      </c>
      <c r="C10" s="43" t="e">
        <f ca="1">_xludf.LET(R1,Assumptions!C20,GR2,0.1,GR3,Assumptions!C22,GR4,Assumptions!C23,GR5,Assumptions!C24,cogs,Assumptions!C27,opex1,Assumptions!C28,opgr,Assumptions!C29,da,Assumptions!C30,intx,Assumptions!C31,tax,Assumptions!C32,dr,0.14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D10" s="43" t="e">
        <f ca="1">_xludf.LET(R1,Assumptions!C20,GR2,0.15,GR3,Assumptions!C22,GR4,Assumptions!C23,GR5,Assumptions!C24,cogs,Assumptions!C27,opex1,Assumptions!C28,opgr,Assumptions!C29,da,Assumptions!C30,intx,Assumptions!C31,tax,Assumptions!C32,dr,0.14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E10" s="43" t="e">
        <f ca="1">_xludf.LET(R1,Assumptions!C20,GR2,0.2,GR3,Assumptions!C22,GR4,Assumptions!C23,GR5,Assumptions!C24,cogs,Assumptions!C27,opex1,Assumptions!C28,opgr,Assumptions!C29,da,Assumptions!C30,intx,Assumptions!C31,tax,Assumptions!C32,dr,0.14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F10" s="43" t="e">
        <f ca="1">_xludf.LET(R1,Assumptions!C20,GR2,0.25,GR3,Assumptions!C22,GR4,Assumptions!C23,GR5,Assumptions!C24,cogs,Assumptions!C27,opex1,Assumptions!C28,opgr,Assumptions!C29,da,Assumptions!C30,intx,Assumptions!C31,tax,Assumptions!C32,dr,0.14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G10" s="43" t="e">
        <f ca="1">_xludf.LET(R1,Assumptions!C20,GR2,0.3,GR3,Assumptions!C22,GR4,Assumptions!C23,GR5,Assumptions!C24,cogs,Assumptions!C27,opex1,Assumptions!C28,opgr,Assumptions!C29,da,Assumptions!C30,intx,Assumptions!C31,tax,Assumptions!C32,dr,0.14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H10" s="43" t="e">
        <f ca="1">_xludf.LET(R1,Assumptions!C20,GR2,0.35,GR3,Assumptions!C22,GR4,Assumptions!C23,GR5,Assumptions!C24,cogs,Assumptions!C27,opex1,Assumptions!C28,opgr,Assumptions!C29,da,Assumptions!C30,intx,Assumptions!C31,tax,Assumptions!C32,dr,0.14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</row>
    <row r="11" spans="1:9" ht="22" customHeight="1" x14ac:dyDescent="0.35">
      <c r="B11" s="2" t="s">
        <v>179</v>
      </c>
      <c r="C11" s="43" t="e">
        <f ca="1">_xludf.LET(R1,Assumptions!C20,GR2,0.1,GR3,Assumptions!C22,GR4,Assumptions!C23,GR5,Assumptions!C24,cogs,Assumptions!C27,opex1,Assumptions!C28,opgr,Assumptions!C29,da,Assumptions!C30,intx,Assumptions!C31,tax,Assumptions!C32,dr,0.16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D11" s="43" t="e">
        <f ca="1">_xludf.LET(R1,Assumptions!C20,GR2,0.15,GR3,Assumptions!C22,GR4,Assumptions!C23,GR5,Assumptions!C24,cogs,Assumptions!C27,opex1,Assumptions!C28,opgr,Assumptions!C29,da,Assumptions!C30,intx,Assumptions!C31,tax,Assumptions!C32,dr,0.16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E11" s="43" t="e">
        <f ca="1">_xludf.LET(R1,Assumptions!C20,GR2,0.2,GR3,Assumptions!C22,GR4,Assumptions!C23,GR5,Assumptions!C24,cogs,Assumptions!C27,opex1,Assumptions!C28,opgr,Assumptions!C29,da,Assumptions!C30,intx,Assumptions!C31,tax,Assumptions!C32,dr,0.16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F11" s="43" t="e">
        <f ca="1">_xludf.LET(R1,Assumptions!C20,GR2,0.25,GR3,Assumptions!C22,GR4,Assumptions!C23,GR5,Assumptions!C24,cogs,Assumptions!C27,opex1,Assumptions!C28,opgr,Assumptions!C29,da,Assumptions!C30,intx,Assumptions!C31,tax,Assumptions!C32,dr,0.16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G11" s="43" t="e">
        <f ca="1">_xludf.LET(R1,Assumptions!C20,GR2,0.3,GR3,Assumptions!C22,GR4,Assumptions!C23,GR5,Assumptions!C24,cogs,Assumptions!C27,opex1,Assumptions!C28,opgr,Assumptions!C29,da,Assumptions!C30,intx,Assumptions!C31,tax,Assumptions!C32,dr,0.16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H11" s="43" t="e">
        <f ca="1">_xludf.LET(R1,Assumptions!C20,GR2,0.35,GR3,Assumptions!C22,GR4,Assumptions!C23,GR5,Assumptions!C24,cogs,Assumptions!C27,opex1,Assumptions!C28,opgr,Assumptions!C29,da,Assumptions!C30,intx,Assumptions!C31,tax,Assumptions!C32,dr,0.16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</row>
    <row r="12" spans="1:9" ht="22" customHeight="1" x14ac:dyDescent="0.35">
      <c r="B12" s="2" t="s">
        <v>180</v>
      </c>
      <c r="C12" s="43" t="e">
        <f ca="1">_xludf.LET(R1,Assumptions!C20,GR2,0.1,GR3,Assumptions!C22,GR4,Assumptions!C23,GR5,Assumptions!C24,cogs,Assumptions!C27,opex1,Assumptions!C28,opgr,Assumptions!C29,da,Assumptions!C30,intx,Assumptions!C31,tax,Assumptions!C32,dr,0.18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D12" s="43" t="e">
        <f ca="1">_xludf.LET(R1,Assumptions!C20,GR2,0.15,GR3,Assumptions!C22,GR4,Assumptions!C23,GR5,Assumptions!C24,cogs,Assumptions!C27,opex1,Assumptions!C28,opgr,Assumptions!C29,da,Assumptions!C30,intx,Assumptions!C31,tax,Assumptions!C32,dr,0.18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E12" s="43" t="e">
        <f ca="1">_xludf.LET(R1,Assumptions!C20,GR2,0.2,GR3,Assumptions!C22,GR4,Assumptions!C23,GR5,Assumptions!C24,cogs,Assumptions!C27,opex1,Assumptions!C28,opgr,Assumptions!C29,da,Assumptions!C30,intx,Assumptions!C31,tax,Assumptions!C32,dr,0.18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F12" s="43" t="e">
        <f ca="1">_xludf.LET(R1,Assumptions!C20,GR2,0.25,GR3,Assumptions!C22,GR4,Assumptions!C23,GR5,Assumptions!C24,cogs,Assumptions!C27,opex1,Assumptions!C28,opgr,Assumptions!C29,da,Assumptions!C30,intx,Assumptions!C31,tax,Assumptions!C32,dr,0.18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G12" s="43" t="e">
        <f ca="1">_xludf.LET(R1,Assumptions!C20,GR2,0.3,GR3,Assumptions!C22,GR4,Assumptions!C23,GR5,Assumptions!C24,cogs,Assumptions!C27,opex1,Assumptions!C28,opgr,Assumptions!C29,da,Assumptions!C30,intx,Assumptions!C31,tax,Assumptions!C32,dr,0.18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  <c r="H12" s="43" t="e">
        <f ca="1">_xludf.LET(R1,Assumptions!C20,GR2,0.35,GR3,Assumptions!C22,GR4,Assumptions!C23,GR5,Assumptions!C24,cogs,Assumptions!C27,opex1,Assumptions!C28,opgr,Assumptions!C29,da,Assumptions!C30,intx,Assumptions!C31,tax,Assumptions!C32,dr,0.18,inv,Assumptions!C11+Assumptions!C13,tv,Assumptions!C14,REV2,R1*(1+GR2),REV3,REV2*(1+GR3),REV4,REV3*(1+GR4),REV5,REV4*(1+GR5),pat,_xludf.LAMBDA(rev,opex,(rev*(1-cogs)-opex-da-intx)*(1-tax)+da),OP1,Assumptions!C28,OP2,OP1*(1+opgr),OP3,OP2*(1+opgr),OP4,OP3*(1+opgr),OP5,OP4*(1+opgr),FCF1,pat(R1,OP1)-Assumptions!C12,FCF2,pat(REV2,OP2),FCF3,pat(REV3,OP3),FCF4,pat(REV4,OP4),FCF5,pat(REV5,OP5)+tv,-inv+FCF1/(1+dr)^1+FCF2/(1+dr)^2+FCF3/(1+dr)^3+FCF4/(1+dr)^4+FCF5/(1+dr)^5)</f>
        <v>#NAME?</v>
      </c>
    </row>
    <row r="13" spans="1:9" ht="12" customHeight="1" x14ac:dyDescent="0.35">
      <c r="B13" s="65" t="s">
        <v>181</v>
      </c>
      <c r="C13" s="50"/>
      <c r="D13" s="50"/>
      <c r="E13" s="50"/>
      <c r="F13" s="50"/>
      <c r="G13" s="50"/>
      <c r="H13" s="50"/>
      <c r="I13" s="50"/>
    </row>
    <row r="15" spans="1:9" ht="20" customHeight="1" x14ac:dyDescent="0.35">
      <c r="B15" s="62" t="s">
        <v>182</v>
      </c>
      <c r="C15" s="50"/>
      <c r="D15" s="50"/>
      <c r="E15" s="50"/>
      <c r="F15" s="50"/>
      <c r="G15" s="50"/>
      <c r="H15" s="50"/>
      <c r="I15" s="50"/>
    </row>
    <row r="16" spans="1:9" ht="22" customHeight="1" x14ac:dyDescent="0.35">
      <c r="B16" s="2" t="s">
        <v>183</v>
      </c>
      <c r="C16" s="2" t="s">
        <v>170</v>
      </c>
      <c r="D16" s="2" t="s">
        <v>171</v>
      </c>
      <c r="E16" s="2" t="s">
        <v>172</v>
      </c>
      <c r="F16" s="2" t="s">
        <v>173</v>
      </c>
      <c r="G16" s="2" t="s">
        <v>174</v>
      </c>
      <c r="H16" s="2" t="s">
        <v>175</v>
      </c>
    </row>
    <row r="17" spans="2:9" ht="22" customHeight="1" x14ac:dyDescent="0.35">
      <c r="B17" s="2" t="s">
        <v>184</v>
      </c>
      <c r="C17" s="45" t="e">
        <f ca="1">_xludf.LET(R1,2000000,GR2,0.1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D17" s="45" t="e">
        <f ca="1">_xludf.LET(R1,2000000,GR2,0.15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E17" s="45" t="e">
        <f ca="1">_xludf.LET(R1,2000000,GR2,0.2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F17" s="45" t="e">
        <f ca="1">_xludf.LET(R1,2000000,GR2,0.25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G17" s="45" t="e">
        <f ca="1">_xludf.LET(R1,2000000,GR2,0.3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H17" s="45" t="e">
        <f ca="1">_xludf.LET(R1,2000000,GR2,0.35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</row>
    <row r="18" spans="2:9" ht="22" customHeight="1" x14ac:dyDescent="0.35">
      <c r="B18" s="2" t="s">
        <v>185</v>
      </c>
      <c r="C18" s="45" t="e">
        <f ca="1">_xludf.LET(R1,2500000,GR2,0.1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D18" s="45" t="e">
        <f ca="1">_xludf.LET(R1,2500000,GR2,0.15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E18" s="45" t="e">
        <f ca="1">_xludf.LET(R1,2500000,GR2,0.2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F18" s="45" t="e">
        <f ca="1">_xludf.LET(R1,2500000,GR2,0.25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G18" s="45" t="e">
        <f ca="1">_xludf.LET(R1,2500000,GR2,0.3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H18" s="45" t="e">
        <f ca="1">_xludf.LET(R1,2500000,GR2,0.35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</row>
    <row r="19" spans="2:9" ht="22" customHeight="1" x14ac:dyDescent="0.35">
      <c r="B19" s="44" t="s">
        <v>186</v>
      </c>
      <c r="C19" s="45" t="e">
        <f ca="1">_xludf.LET(R1,3000000,GR2,0.1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D19" s="45" t="e">
        <f ca="1">_xludf.LET(R1,3000000,GR2,0.15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E19" s="45" t="e">
        <f ca="1">_xludf.LET(R1,3000000,GR2,0.2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F19" s="45" t="e">
        <f ca="1">_xludf.LET(R1,3000000,GR2,0.25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G19" s="45" t="e">
        <f ca="1">_xludf.LET(R1,3000000,GR2,0.3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H19" s="45" t="e">
        <f ca="1">_xludf.LET(R1,3000000,GR2,0.35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</row>
    <row r="20" spans="2:9" ht="22" customHeight="1" x14ac:dyDescent="0.35">
      <c r="B20" s="2" t="s">
        <v>187</v>
      </c>
      <c r="C20" s="45" t="e">
        <f ca="1">_xludf.LET(R1,3500000,GR2,0.1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D20" s="45" t="e">
        <f ca="1">_xludf.LET(R1,3500000,GR2,0.15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E20" s="45" t="e">
        <f ca="1">_xludf.LET(R1,3500000,GR2,0.2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F20" s="45" t="e">
        <f ca="1">_xludf.LET(R1,3500000,GR2,0.25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G20" s="45" t="e">
        <f ca="1">_xludf.LET(R1,3500000,GR2,0.3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H20" s="45" t="e">
        <f ca="1">_xludf.LET(R1,3500000,GR2,0.35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</row>
    <row r="21" spans="2:9" ht="22" customHeight="1" x14ac:dyDescent="0.35">
      <c r="B21" s="2" t="s">
        <v>188</v>
      </c>
      <c r="C21" s="45" t="e">
        <f ca="1">_xludf.LET(R1,4000000,GR2,0.1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D21" s="45" t="e">
        <f ca="1">_xludf.LET(R1,4000000,GR2,0.15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E21" s="45" t="e">
        <f ca="1">_xludf.LET(R1,4000000,GR2,0.2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F21" s="45" t="e">
        <f ca="1">_xludf.LET(R1,4000000,GR2,0.25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G21" s="45" t="e">
        <f ca="1">_xludf.LET(R1,4000000,GR2,0.3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H21" s="45" t="e">
        <f ca="1">_xludf.LET(R1,4000000,GR2,0.35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</row>
    <row r="22" spans="2:9" ht="22" customHeight="1" x14ac:dyDescent="0.35">
      <c r="B22" s="2" t="s">
        <v>189</v>
      </c>
      <c r="C22" s="45" t="e">
        <f ca="1">_xludf.LET(R1,4500000,GR2,0.1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D22" s="45" t="e">
        <f ca="1">_xludf.LET(R1,4500000,GR2,0.15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E22" s="45" t="e">
        <f ca="1">_xludf.LET(R1,4500000,GR2,0.2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F22" s="45" t="e">
        <f ca="1">_xludf.LET(R1,4500000,GR2,0.25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G22" s="45" t="e">
        <f ca="1">_xludf.LET(R1,4500000,GR2,0.3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  <c r="H22" s="45" t="e">
        <f ca="1">_xludf.LET(R1,4500000,GR2,0.35,GR3,Assumptions!C22,GR4,Assumptions!C23,GR5,Assumptions!C24,cogs,Assumptions!C27,opex1,Assumptions!C28,opgr,Assumptions!C29,da,Assumptions!C30,intx,Assumptions!C31,tax,Assumptions!C32,inv,Assumptions!C11+Assumptions!C13+Assumptions!C12,tv,Assumptions!C14,REV2,R1*(1+GR2),REV3,REV2*(1+GR3),REV4,REV3*(1+GR4),REV5,REV4*(1+GR5),OP1,Assumptions!C28,OP2,OP1*(1+opgr),OP3,OP2*(1+opgr),OP4,OP3*(1+opgr),OP5,OP4*(1+opgr),pat,_xludf.LAMBDA(rev,opex,(rev*(1-cogs)-opex-da-intx)*(1-tax)+da),fcf_total,pat(R1,OP1)+pat(REV2,OP2)+pat(REV3,OP3)+pat(REV4,OP4)+pat(REV5,OP5)+tv,(fcf_total-inv)/inv)</f>
        <v>#NAME?</v>
      </c>
    </row>
    <row r="23" spans="2:9" ht="16" customHeight="1" x14ac:dyDescent="0.35">
      <c r="B23" s="65" t="s">
        <v>190</v>
      </c>
      <c r="C23" s="50"/>
      <c r="D23" s="50"/>
      <c r="E23" s="50"/>
      <c r="F23" s="50"/>
      <c r="G23" s="50"/>
      <c r="H23" s="50"/>
      <c r="I23" s="50"/>
    </row>
  </sheetData>
  <mergeCells count="6">
    <mergeCell ref="B23:I23"/>
    <mergeCell ref="B13:I13"/>
    <mergeCell ref="B15:I15"/>
    <mergeCell ref="B2:F2"/>
    <mergeCell ref="B3:F3"/>
    <mergeCell ref="B5:I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2245"/>
  </sheetPr>
  <dimension ref="A1:F30"/>
  <sheetViews>
    <sheetView showGridLines="0" workbookViewId="0"/>
  </sheetViews>
  <sheetFormatPr defaultRowHeight="14.5" x14ac:dyDescent="0.35"/>
  <cols>
    <col min="1" max="1" width="2" customWidth="1"/>
    <col min="2" max="2" width="30" customWidth="1"/>
    <col min="3" max="4" width="26" customWidth="1"/>
    <col min="5" max="5" width="20" customWidth="1"/>
  </cols>
  <sheetData>
    <row r="1" spans="1:6" ht="14" customHeight="1" x14ac:dyDescent="0.35">
      <c r="A1" s="1"/>
      <c r="B1" s="1"/>
      <c r="C1" s="1"/>
      <c r="D1" s="1"/>
      <c r="E1" s="1"/>
      <c r="F1" s="1"/>
    </row>
    <row r="2" spans="1:6" ht="14" customHeight="1" x14ac:dyDescent="0.35">
      <c r="A2" s="1"/>
      <c r="B2" s="1"/>
      <c r="C2" s="1"/>
      <c r="D2" s="1"/>
      <c r="E2" s="1"/>
      <c r="F2" s="1"/>
    </row>
    <row r="3" spans="1:6" ht="36" customHeight="1" x14ac:dyDescent="0.35">
      <c r="A3" s="1"/>
      <c r="B3" s="70" t="s">
        <v>191</v>
      </c>
      <c r="C3" s="50"/>
      <c r="D3" s="50"/>
      <c r="E3" s="50"/>
      <c r="F3" s="50"/>
    </row>
    <row r="4" spans="1:6" ht="14" customHeight="1" x14ac:dyDescent="0.35">
      <c r="A4" s="1"/>
      <c r="B4" s="68" t="str">
        <f ca="1">Assumptions!C6&amp;"  |  Analyst: "&amp;Assumptions!C8&amp;"  |  Date: "&amp;TEXT(Assumptions!C7,"DD-MMM-YYYY")</f>
        <v>New Expansion Project  |  Analyst: Akshay K Kothari, CA  |  Date: 15-Mar-2026</v>
      </c>
      <c r="C4" s="50"/>
      <c r="D4" s="50"/>
      <c r="E4" s="50"/>
      <c r="F4" s="50"/>
    </row>
    <row r="5" spans="1:6" ht="2" customHeight="1" x14ac:dyDescent="0.35">
      <c r="C5" s="46" t="e">
        <f>Decision!B6</f>
        <v>#VALUE!</v>
      </c>
    </row>
    <row r="6" spans="1:6" ht="56" customHeight="1" x14ac:dyDescent="0.35">
      <c r="B6" s="69" t="e">
        <f>IF(AND('NPV &amp; IRR'!C15&gt;0,'NPV &amp; IRR'!C16&gt;Assumptions!C16,'ROI Analysis'!C12&gt;=Assumptions!C16),"✅  INVEST — All Hurdles Cleared","❌  DO NOT INVEST — Hurdle Not Met")</f>
        <v>#VALUE!</v>
      </c>
      <c r="C6" s="50"/>
      <c r="D6" s="50"/>
      <c r="E6" s="50"/>
      <c r="F6" s="50"/>
    </row>
    <row r="8" spans="1:6" ht="20" customHeight="1" x14ac:dyDescent="0.35">
      <c r="B8" s="62" t="s">
        <v>192</v>
      </c>
      <c r="C8" s="50"/>
      <c r="D8" s="50"/>
      <c r="E8" s="50"/>
    </row>
    <row r="9" spans="1:6" ht="22" customHeight="1" x14ac:dyDescent="0.35">
      <c r="B9" s="6" t="s">
        <v>193</v>
      </c>
      <c r="C9" s="31">
        <f>Assumptions!C11</f>
        <v>5000000</v>
      </c>
      <c r="D9" s="66" t="s">
        <v>194</v>
      </c>
      <c r="E9" s="50"/>
    </row>
    <row r="10" spans="1:6" ht="22" customHeight="1" x14ac:dyDescent="0.35">
      <c r="B10" s="6" t="s">
        <v>195</v>
      </c>
      <c r="C10" s="31">
        <f>'P&amp;L'!H6</f>
        <v>21204624</v>
      </c>
      <c r="D10" s="66" t="s">
        <v>196</v>
      </c>
      <c r="E10" s="50"/>
    </row>
    <row r="11" spans="1:6" ht="22" customHeight="1" x14ac:dyDescent="0.35">
      <c r="B11" s="6" t="s">
        <v>197</v>
      </c>
      <c r="C11" s="31">
        <f>'P&amp;L'!H11</f>
        <v>8899727.5750000011</v>
      </c>
      <c r="D11" s="66" t="s">
        <v>198</v>
      </c>
      <c r="E11" s="50"/>
    </row>
    <row r="12" spans="1:6" ht="22" customHeight="1" x14ac:dyDescent="0.35">
      <c r="B12" s="6" t="s">
        <v>199</v>
      </c>
      <c r="C12" s="31">
        <f>'P&amp;L'!H18</f>
        <v>2549795.6812500004</v>
      </c>
      <c r="D12" s="66" t="s">
        <v>200</v>
      </c>
      <c r="E12" s="50"/>
    </row>
    <row r="13" spans="1:6" ht="22" customHeight="1" x14ac:dyDescent="0.35">
      <c r="B13" s="6" t="s">
        <v>201</v>
      </c>
      <c r="C13" s="31">
        <f>'Cash Flow'!I19</f>
        <v>7549795.6812500004</v>
      </c>
      <c r="D13" s="66" t="s">
        <v>202</v>
      </c>
      <c r="E13" s="50"/>
    </row>
    <row r="14" spans="1:6" ht="22" customHeight="1" x14ac:dyDescent="0.35">
      <c r="B14" s="6" t="s">
        <v>203</v>
      </c>
      <c r="C14" s="31" t="e">
        <f>'NPV &amp; IRR'!C15</f>
        <v>#VALUE!</v>
      </c>
      <c r="D14" s="66" t="s">
        <v>204</v>
      </c>
      <c r="E14" s="50"/>
    </row>
    <row r="15" spans="1:6" ht="22" customHeight="1" x14ac:dyDescent="0.35">
      <c r="B15" s="6" t="s">
        <v>205</v>
      </c>
      <c r="C15" s="34" t="str">
        <f>'NPV &amp; IRR'!C16</f>
        <v>N/A</v>
      </c>
      <c r="D15" s="66" t="s">
        <v>206</v>
      </c>
      <c r="E15" s="50"/>
    </row>
    <row r="16" spans="1:6" ht="22" customHeight="1" x14ac:dyDescent="0.35">
      <c r="B16" s="6" t="s">
        <v>207</v>
      </c>
      <c r="C16" s="34" t="str">
        <f>'NPV &amp; IRR'!C17</f>
        <v>N/A</v>
      </c>
      <c r="D16" s="66" t="s">
        <v>208</v>
      </c>
      <c r="E16" s="50"/>
    </row>
    <row r="17" spans="2:5" ht="22" customHeight="1" x14ac:dyDescent="0.35">
      <c r="B17" s="6" t="s">
        <v>209</v>
      </c>
      <c r="C17" s="34" t="str">
        <f>'ROI Analysis'!C12</f>
        <v>N/A</v>
      </c>
      <c r="D17" s="66" t="s">
        <v>210</v>
      </c>
      <c r="E17" s="50"/>
    </row>
    <row r="18" spans="2:5" ht="22" customHeight="1" x14ac:dyDescent="0.35">
      <c r="B18" s="6" t="s">
        <v>211</v>
      </c>
      <c r="C18" s="34" t="str">
        <f>'ROI Analysis'!C13</f>
        <v>N/A</v>
      </c>
      <c r="D18" s="66" t="s">
        <v>212</v>
      </c>
      <c r="E18" s="50"/>
    </row>
    <row r="19" spans="2:5" ht="22" customHeight="1" x14ac:dyDescent="0.35">
      <c r="B19" s="6" t="s">
        <v>213</v>
      </c>
      <c r="C19" s="34">
        <f>Assumptions!C16</f>
        <v>0.12</v>
      </c>
      <c r="D19" s="66" t="s">
        <v>214</v>
      </c>
      <c r="E19" s="50"/>
    </row>
    <row r="20" spans="2:5" ht="22" customHeight="1" x14ac:dyDescent="0.35">
      <c r="B20" s="6" t="s">
        <v>215</v>
      </c>
      <c r="C20" s="47" t="e">
        <f>IF('NPV &amp; IRR'!C15&gt;0,"NPV Positive ✅","NPV Negative ❌")</f>
        <v>#VALUE!</v>
      </c>
      <c r="D20" s="66" t="s">
        <v>216</v>
      </c>
      <c r="E20" s="50"/>
    </row>
    <row r="22" spans="2:5" ht="12" customHeight="1" x14ac:dyDescent="0.35"/>
    <row r="23" spans="2:5" ht="20" customHeight="1" x14ac:dyDescent="0.35">
      <c r="B23" s="62" t="s">
        <v>217</v>
      </c>
      <c r="C23" s="50"/>
      <c r="D23" s="50"/>
      <c r="E23" s="50"/>
    </row>
    <row r="24" spans="2:5" ht="20" customHeight="1" x14ac:dyDescent="0.35">
      <c r="B24" s="2" t="s">
        <v>25</v>
      </c>
      <c r="C24" s="2" t="s">
        <v>92</v>
      </c>
      <c r="D24" s="2" t="s">
        <v>93</v>
      </c>
      <c r="E24" s="2" t="s">
        <v>94</v>
      </c>
    </row>
    <row r="25" spans="2:5" ht="22" customHeight="1" x14ac:dyDescent="0.35">
      <c r="B25" s="4" t="s">
        <v>98</v>
      </c>
      <c r="C25" s="23">
        <f>'P&amp;L'!C6</f>
        <v>3000000</v>
      </c>
      <c r="D25" s="23">
        <f>'P&amp;L'!D6</f>
        <v>3600000</v>
      </c>
      <c r="E25" s="23">
        <f>'P&amp;L'!E6</f>
        <v>4248000</v>
      </c>
    </row>
    <row r="26" spans="2:5" ht="22" customHeight="1" x14ac:dyDescent="0.35">
      <c r="B26" s="4" t="s">
        <v>103</v>
      </c>
      <c r="C26" s="23">
        <f>'P&amp;L'!C11</f>
        <v>1150000</v>
      </c>
      <c r="D26" s="23">
        <f>'P&amp;L'!D11</f>
        <v>1455000</v>
      </c>
      <c r="E26" s="23">
        <f>'P&amp;L'!E11</f>
        <v>1785150</v>
      </c>
    </row>
    <row r="27" spans="2:5" ht="22" customHeight="1" x14ac:dyDescent="0.35">
      <c r="B27" s="4" t="s">
        <v>218</v>
      </c>
      <c r="C27" s="23">
        <f>'P&amp;L'!C18</f>
        <v>37500</v>
      </c>
      <c r="D27" s="23">
        <f>'P&amp;L'!D18</f>
        <v>266250</v>
      </c>
      <c r="E27" s="23">
        <f>'P&amp;L'!E18</f>
        <v>513862.5</v>
      </c>
    </row>
    <row r="28" spans="2:5" ht="22" customHeight="1" x14ac:dyDescent="0.35">
      <c r="B28" s="4" t="s">
        <v>219</v>
      </c>
      <c r="C28" s="23">
        <f>'Cash Flow'!D19</f>
        <v>437500</v>
      </c>
      <c r="D28" s="23">
        <f>'Cash Flow'!E19</f>
        <v>1166250</v>
      </c>
      <c r="E28" s="23">
        <f>'Cash Flow'!F19</f>
        <v>1413862.5</v>
      </c>
    </row>
    <row r="30" spans="2:5" ht="16" customHeight="1" x14ac:dyDescent="0.35">
      <c r="B30" s="71" t="s">
        <v>220</v>
      </c>
      <c r="C30" s="50"/>
      <c r="D30" s="50"/>
      <c r="E30" s="50"/>
    </row>
  </sheetData>
  <mergeCells count="18">
    <mergeCell ref="B3:F3"/>
    <mergeCell ref="B30:E30"/>
    <mergeCell ref="D14:E14"/>
    <mergeCell ref="D18:E18"/>
    <mergeCell ref="D9:E9"/>
    <mergeCell ref="D12:E12"/>
    <mergeCell ref="B4:F4"/>
    <mergeCell ref="D20:E20"/>
    <mergeCell ref="B23:E23"/>
    <mergeCell ref="D16:E16"/>
    <mergeCell ref="B8:E8"/>
    <mergeCell ref="B6:F6"/>
    <mergeCell ref="D10:E10"/>
    <mergeCell ref="D15:E15"/>
    <mergeCell ref="D19:E19"/>
    <mergeCell ref="D11:E11"/>
    <mergeCell ref="D13:E13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P&amp;L</vt:lpstr>
      <vt:lpstr>Cash Flow</vt:lpstr>
      <vt:lpstr>NPV &amp; IRR</vt:lpstr>
      <vt:lpstr>ROI Analysis</vt:lpstr>
      <vt:lpstr>Sensitivity</vt:lpstr>
      <vt:lpstr>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Kothari</cp:lastModifiedBy>
  <dcterms:created xsi:type="dcterms:W3CDTF">2026-03-15T12:08:01Z</dcterms:created>
  <dcterms:modified xsi:type="dcterms:W3CDTF">2026-03-15T12:19:45Z</dcterms:modified>
</cp:coreProperties>
</file>